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Batch 1 Briefs" sheetId="2" state="visible" r:id="rId4"/>
    <sheet name="Content Standards" sheetId="3" state="visible" r:id="rId5"/>
    <sheet name="Content Plan (Pillars)" sheetId="4" state="visible" r:id="rId6"/>
    <sheet name="Cluster Map" sheetId="5" state="visible" r:id="rId7"/>
    <sheet name="Post Plan" sheetId="6" state="visible" r:id="rId8"/>
    <sheet name="Pillar Keywords" sheetId="7" state="visible" r:id="rId9"/>
    <sheet name="All Keywords" sheetId="8" state="visible" r:id="rId10"/>
    <sheet name="Excluded" sheetId="9" state="visible" r:id="rId11"/>
  </sheets>
  <definedNames>
    <definedName function="false" hidden="true" localSheetId="7" name="_xlnm._FilterDatabase" vbProcedure="false">'All Keywords'!$A$1:$I$853</definedName>
    <definedName function="false" hidden="true" localSheetId="3" name="_xlnm._FilterDatabase" vbProcedure="false">'Content Plan (Pillars)'!$A$1:$AB$68</definedName>
    <definedName function="false" hidden="true" localSheetId="5" name="_xlnm._FilterDatabase" vbProcedure="false">'Post Plan'!$A$1:$Z$348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<sst xmlns="http://schemas.openxmlformats.org/spreadsheetml/2006/main" count="9719" uniqueCount="2259">
  <si>
    <t xml:space="preserve">Top Travel Insider: listicle content plan with pillars &amp; clusters (SE Ranking US+UK, Oct 2026)</t>
  </si>
  <si>
    <t xml:space="preserve">All posts</t>
  </si>
  <si>
    <t xml:space="preserve">Wave 1</t>
  </si>
  <si>
    <t xml:space="preserve">Wave 2</t>
  </si>
  <si>
    <t xml:space="preserve">Wave 3</t>
  </si>
  <si>
    <t xml:space="preserve">Wave 4</t>
  </si>
  <si>
    <t xml:space="preserve">Posts</t>
  </si>
  <si>
    <t xml:space="preserve">Food &amp; drink posts</t>
  </si>
  <si>
    <t xml:space="preserve">Place posts</t>
  </si>
  <si>
    <t xml:space="preserve">Quick wins (KD 10 or under)</t>
  </si>
  <si>
    <t xml:space="preserve">Monthly volume (US+UK)</t>
  </si>
  <si>
    <t xml:space="preserve">Average weighted KD</t>
  </si>
  <si>
    <t xml:space="preserve">Posts with a data flag</t>
  </si>
  <si>
    <t xml:space="preserve">Published</t>
  </si>
  <si>
    <t xml:space="preserve">Pillars</t>
  </si>
  <si>
    <t xml:space="preserve">  City hubs</t>
  </si>
  <si>
    <t xml:space="preserve">  Country hubs</t>
  </si>
  <si>
    <t xml:space="preserve">  Region hubs</t>
  </si>
  <si>
    <t xml:space="preserve">  Built by upgrading an existing post</t>
  </si>
  <si>
    <t xml:space="preserve">How the plan is structured</t>
  </si>
  <si>
    <t xml:space="preserve">Architecture: Region hub &gt; Country hub &gt; City hub &gt; listicle spokes. A place with 3+ spokes gets its own city hub; smaller places roll up to their country hub, or to the region hub if the country has fewer than 3 posts.</t>
  </si>
  <si>
    <t xml:space="preserve">Clusters inside each hub: Eat, Drink, Explore nearby (day trips, weekend getaways), See &amp; do, Beaches &amp; islands, Towns, villages &amp; nature. The Cluster Map tab shows every hub's spokes laid out by cluster.</t>
  </si>
  <si>
    <t xml:space="preserve">Internal linking: every spoke links up to its hub and across to two siblings (same cluster first). Hubs link down to all spokes and up to their parent hub. The suggested links are in the Post Plan's 'Internal links' column.</t>
  </si>
  <si>
    <t xml:space="preserve">Pillar keywords: '[place] travel guide' was measured where possible. Volumes are modest (mostly 100 to 740) because the pillar's job is to concentrate links and topical authority, not to be the main traffic page. Budapest, Prague, Madrid, Nashville and Copenhagen have the best pillar terms.</t>
  </si>
  <si>
    <t xml:space="preserve">Existing posts are used as hubs wherever they fit, upgraded rather than rebuilt: the UK post is the parent of the England, Scotland and Wales hubs; the Vietnam post is the parent of Hanoi and Ho Chi Minh City (with Sapa, Hue and Ninh Binh linked under it); the Japan post is the parent of Tokyo, Osaka and Kyoto; USA, Thailand, Portugal and Peru head their country hubs; Edinburgh, London, Tokyo, NYC, Chicago, Amsterdam, Barcelona and Athens are city hubs.</t>
  </si>
  <si>
    <t xml:space="preserve">Waves: Wave 1 is ranks 1 to 100, Wave 2 is 101 to 200, Wave 3 is 201 to 300, Wave 4 is the rest. Within a wave, publish spokes for the same hub close together so the hub can go live with links in place.</t>
  </si>
  <si>
    <t xml:space="preserve">Scoring is unchanged: only market-keyword rows at KD 40 or under count, Weighted KD is volume-weighted, Winnability = Total volume / (KD + 10), scaled by 0.25 above KD 35 or for cross-market KD mismatches.</t>
  </si>
  <si>
    <t xml:space="preserve">Grouping is by topic and place, not by SERP overlap. Before writing pairs that sit close together (e.g. 'Places to Eat' vs 'Foods to Try', or 'Bars' vs 'Rooftop Bars' in the same city), spot-check the SERPs; if the same URLs rank for both, merge them.</t>
  </si>
  <si>
    <t xml:space="preserve">Yellow columns are blank for you to fill in (status, writer, dates, URLs). Hub and summary progress counts update automatically from the Status column.</t>
  </si>
  <si>
    <t xml:space="preserve">Plan rank</t>
  </si>
  <si>
    <t xml:space="preserve">Post title</t>
  </si>
  <si>
    <t xml:space="preserve">Suggested slug</t>
  </si>
  <si>
    <t xml:space="preserve">Primary keyword</t>
  </si>
  <si>
    <t xml:space="preserve">Volume (US+UK)</t>
  </si>
  <si>
    <t xml:space="preserve">KD</t>
  </si>
  <si>
    <t xml:space="preserve">Hub</t>
  </si>
  <si>
    <t xml:space="preserve">Cluster</t>
  </si>
  <si>
    <t xml:space="preserve">Search intent</t>
  </si>
  <si>
    <t xml:space="preserve">10 items (verify before writing)</t>
  </si>
  <si>
    <t xml:space="preserve">Reserves</t>
  </si>
  <si>
    <t xml:space="preserve">Candidate FAQs (confirm vs People Also Ask)</t>
  </si>
  <si>
    <t xml:space="preserve">Internal links</t>
  </si>
  <si>
    <t xml:space="preserve">Target words</t>
  </si>
  <si>
    <t xml:space="preserve">In-article photos</t>
  </si>
  <si>
    <t xml:space="preserve">Practical boxes</t>
  </si>
  <si>
    <t xml:space="preserve">FAQs</t>
  </si>
  <si>
    <t xml:space="preserve">Writer</t>
  </si>
  <si>
    <t xml:space="preserve">Draft due</t>
  </si>
  <si>
    <t xml:space="preserve">Facts checked</t>
  </si>
  <si>
    <t xml:space="preserve">Photos sourced</t>
  </si>
  <si>
    <t xml:space="preserve">Rendered (tti_render.py)</t>
  </si>
  <si>
    <t xml:space="preserve">Published URL</t>
  </si>
  <si>
    <t xml:space="preserve">Top 10 Day Trips from Edinburgh</t>
  </si>
  <si>
    <t xml:space="preserve">/top-10-day-trips-from-edinburgh/</t>
  </si>
  <si>
    <t xml:space="preserve">day trips from edinburgh</t>
  </si>
  <si>
    <t xml:space="preserve">Edinburgh</t>
  </si>
  <si>
    <t xml:space="preserve">Explore nearby</t>
  </si>
  <si>
    <t xml:space="preserve">Planning which places to visit on a one-day return trip from Edinburgh by train, bus, tour or car.</t>
  </si>
  <si>
    <t xml:space="preserve">Stirling (castle, Wallace Monument); St Andrews; Loch Lomond &amp; the Trossachs; Falkirk Wheel &amp; The Kelpies; Linlithgow Palace; North Berwick &amp; Tantallon Castle; Rosslyn Chapel &amp; Roslin Glen; Culross &amp; Dunfermline; Melrose &amp; the Scottish Borders abbeys; Glencoe (long day, usually by tour)</t>
  </si>
  <si>
    <t xml:space="preserve">Pentland Hills; Glasgow (link to Glasgow hub instead); Loch Ness (long tour day, very common search)</t>
  </si>
  <si>
    <t xml:space="preserve">Can you do Loch Ness as a day trip from Edinburgh? | Is Stirling worth a day trip from Edinburgh? | Do you need a car for day trips from Edinburgh? | What is the best day trip from Edinburgh by train? | Can you visit the Highlands in a day from Edinburgh? | Is St Andrews or Stirling better for a day trip?</t>
  </si>
  <si>
    <t xml:space="preserve">Edinburgh hub (existing Edinburgh post); https://toptravelinsider.com/top-10-castles-to-visit-in-the-uk-travel-guide/; https://toptravelinsider.com/top-10-historic-places-in-the-uk/; https://toptravelinsider.com/top-10-hidden-gems-in-the-uk/</t>
  </si>
  <si>
    <t xml:space="preserve">2,500 to 3,000</t>
  </si>
  <si>
    <t xml:space="preserve">5 to 6</t>
  </si>
  <si>
    <t xml:space="preserve">Claude (draft 1)</t>
  </si>
  <si>
    <t xml:space="preserve">Partly</t>
  </si>
  <si>
    <t xml:space="preserve">No</t>
  </si>
  <si>
    <t xml:space="preserve">Top 10 Places to Eat in Copenhagen</t>
  </si>
  <si>
    <t xml:space="preserve">/top-10-places-to-eat-in-copenhagen/</t>
  </si>
  <si>
    <t xml:space="preserve">where to eat in copenhagen</t>
  </si>
  <si>
    <t xml:space="preserve">Copenhagen</t>
  </si>
  <si>
    <t xml:space="preserve">Eat</t>
  </si>
  <si>
    <t xml:space="preserve">Choosing where to eat in Copenhagen across budgets: smørrebrød, bakeries, food halls, New Nordic and fine dining.</t>
  </si>
  <si>
    <t xml:space="preserve">Torvehallerne food market; Reffen street food (seasonal, check opening); Schønnemann (smørrebrød); Aamanns (smørrebrød); Hart Bageri (bakery); Bæst (pizza, Nørrebro); Kødbyens Fiskebar (Meatpacking District); Barr; Hija de Sanchez (tacos); One fine-dining pick (Alchemist or similar)</t>
  </si>
  <si>
    <t xml:space="preserve">Admiralgade 26; Mirabelle; Lille Bakery. Confirm every venue is still trading and its booking policy before writing.</t>
  </si>
  <si>
    <t xml:space="preserve">What food is Copenhagen famous for? | Is eating out in Copenhagen expensive? | Do you need to book restaurants in Copenhagen? | Do you tip in Copenhagen? | Where can you eat cheaply in Copenhagen? | What is smørrebrød?</t>
  </si>
  <si>
    <t xml:space="preserve">Copenhagen hub (new); Cafes in Copenhagen (#11); Bars in Copenhagen (#18)</t>
  </si>
  <si>
    <t xml:space="preserve">Top 10 Day Trips from Tokyo</t>
  </si>
  <si>
    <t xml:space="preserve">/top-10-day-trips-from-tokyo/</t>
  </si>
  <si>
    <t xml:space="preserve">day trips from tokyo</t>
  </si>
  <si>
    <t xml:space="preserve">Tokyo</t>
  </si>
  <si>
    <t xml:space="preserve">Picking easy one-day trips from Tokyo by train, with how long each takes and whether a pass is worth it.</t>
  </si>
  <si>
    <t xml:space="preserve">Kamakura; Hakone; Mount Fuji Five Lakes (Kawaguchiko); Nikko; Yokohama; Kawagoe; Enoshima; Mount Takao; Chichibu; Karuizawa</t>
  </si>
  <si>
    <t xml:space="preserve">Kusatsu Onsen (long day); Mito (Kairakuen, seasonal); Sawara</t>
  </si>
  <si>
    <t xml:space="preserve">What is the easiest day trip from Tokyo? | Can you see Mount Fuji on a day trip from Tokyo? | Is the JR Pass worth it for day trips from Tokyo? | Is Hakone or Nikko better for a day trip? | How do you get to Kamakura from Tokyo? | Can you do Kyoto as a day trip from Tokyo?</t>
  </si>
  <si>
    <t xml:space="preserve">Tokyo hub (existing Tokyo post); Japan hub (existing Japan post); Day Trips from Osaka (#9)</t>
  </si>
  <si>
    <t xml:space="preserve">Top 10 Day Trips from Lisbon</t>
  </si>
  <si>
    <t xml:space="preserve">/top-10-day-trips-from-lisbon/</t>
  </si>
  <si>
    <t xml:space="preserve">day trips from lisbon</t>
  </si>
  <si>
    <t xml:space="preserve">Lisbon</t>
  </si>
  <si>
    <t xml:space="preserve">Choosing day trips from Lisbon (palaces, beaches, historic towns) and how to reach them without a car.</t>
  </si>
  <si>
    <t xml:space="preserve">Sintra; Cascais &amp; Estoril; Évora; Óbidos; Arrábida Natural Park &amp; Setúbal; Nazaré; Tomar; Coimbra; Ericeira; Fátima, Batalha &amp; Alcobaça loop</t>
  </si>
  <si>
    <t xml:space="preserve">Cabo da Roca (combine with Sintra); Comporta; Costa da Caparica</t>
  </si>
  <si>
    <t xml:space="preserve">Is Sintra worth a day trip from Lisbon? | Can you do Sintra and Cascais in one day? | How do you get from Lisbon to Sintra by train? | Is Porto too far for a day trip from Lisbon? | What is the best beach day trip from Lisbon? | Do you need a car for day trips from Lisbon?</t>
  </si>
  <si>
    <t xml:space="preserve">Lisbon hub (new: or the live 'things to do in Lisbon' post if it exists); Places to Eat in Lisbon (#6); Portugal hub (existing Portugal post)</t>
  </si>
  <si>
    <t xml:space="preserve">Top 10 Places to Eat in Lisbon</t>
  </si>
  <si>
    <t xml:space="preserve">/top-10-places-to-eat-in-lisbon/</t>
  </si>
  <si>
    <t xml:space="preserve">where to eat in lisbon</t>
  </si>
  <si>
    <t xml:space="preserve">Finding the best places to eat in Lisbon by neighbourhood and budget, including pastéis de nata and seafood.</t>
  </si>
  <si>
    <t xml:space="preserve">Time Out Market (Mercado da Ribeira); Cervejaria Ramiro (seafood); Pastéis de Belém; Manteigaria (pastéis de nata); Taberna da Rua das Flores; Zé da Mouraria; O Velho Eurico; A Cevicheria; Prado; Sol e Pesca (tinned fish)</t>
  </si>
  <si>
    <t xml:space="preserve">Café de São Bento (steak); Belcanto (fine dining); a tasca in Alfama. Verify each is open and how bookings work.</t>
  </si>
  <si>
    <t xml:space="preserve">What food is Lisbon famous for? | Where can you get the best pastel de nata in Lisbon? | Is Time Out Market worth it? | Do you need to book restaurants in Lisbon? | Is eating out in Lisbon cheap? | What is a tasca?</t>
  </si>
  <si>
    <t xml:space="preserve">Lisbon hub; Day Trips from Lisbon (#4); Portugal hub (existing Portugal post)</t>
  </si>
  <si>
    <t xml:space="preserve">Top 10 Day Trips from London</t>
  </si>
  <si>
    <t xml:space="preserve">/top-10-day-trips-from-london/</t>
  </si>
  <si>
    <t xml:space="preserve">best day trips from london</t>
  </si>
  <si>
    <t xml:space="preserve">London</t>
  </si>
  <si>
    <t xml:space="preserve">Choosing day trips from London by train, with what each place suits and how long to allow.</t>
  </si>
  <si>
    <t xml:space="preserve">Oxford; Cambridge; Bath; Windsor; Stonehenge (with Salisbury); Brighton; Canterbury; Seven Sisters &amp; Beachy Head; The Cotswolds; Rye</t>
  </si>
  <si>
    <t xml:space="preserve">Whitstable; Leeds Castle; Winchester</t>
  </si>
  <si>
    <t xml:space="preserve">What is the best day trip from London by train? | Can you do Stonehenge and Bath in one day from London? | Is Oxford or Cambridge better for a day trip? | Can you visit the Cotswolds in a day without a car? | How far is Brighton from London by train? | Are day tours from London worth it?</t>
  </si>
  <si>
    <t xml:space="preserve">London hub (existing London post); https://toptravelinsider.com/top-10-weekend-getaways-uk/; https://toptravelinsider.com/top-10-castles-to-visit-in-the-uk-travel-guide/; https://toptravelinsider.com/top-10-historic-places-in-the-uk/</t>
  </si>
  <si>
    <t xml:space="preserve">Top 10 Day Trips from Amsterdam</t>
  </si>
  <si>
    <t xml:space="preserve">/top-10-day-trips-from-amsterdam/</t>
  </si>
  <si>
    <t xml:space="preserve">best day trips from amsterdam</t>
  </si>
  <si>
    <t xml:space="preserve">Amsterdam</t>
  </si>
  <si>
    <t xml:space="preserve">Planning day trips from Amsterdam: windmills, canal towns, Dutch cities and seasonal tulips.</t>
  </si>
  <si>
    <t xml:space="preserve">Zaanse Schans; Haarlem; Utrecht; Giethoorn; Volendam &amp; Marken; Edam; Delft; The Hague; Rotterdam; Keukenhof (spring only) or Kinderdijk</t>
  </si>
  <si>
    <t xml:space="preserve">Leiden; Alkmaar cheese market (seasonal); Muiderslot</t>
  </si>
  <si>
    <t xml:space="preserve">What is the best day trip from Amsterdam? | Is Giethoorn worth a day trip from Amsterdam? | Can you do Zaanse Schans, Volendam and Edam in one day? | When is Keukenhof open? | How do you get to Haarlem from Amsterdam? | Is Rotterdam worth a day trip?</t>
  </si>
  <si>
    <t xml:space="preserve">Amsterdam hub (existing Amsterdam post); Europe hub</t>
  </si>
  <si>
    <t xml:space="preserve">Top 10 Places to Eat in Budapest</t>
  </si>
  <si>
    <t xml:space="preserve">/top-10-places-to-eat-in-budapest/</t>
  </si>
  <si>
    <t xml:space="preserve">best food in budapest</t>
  </si>
  <si>
    <t xml:space="preserve">Budapest</t>
  </si>
  <si>
    <t xml:space="preserve">Finding where to eat in Budapest: Hungarian classics, market food, ruin-bar area street food and cafés.</t>
  </si>
  <si>
    <t xml:space="preserve">Great Market Hall (Központi Vásárcsarnok); Karaván street food; Gettó Gulyás; Frici Papa; Hungarikum Bisztró; Mazel Tov; Borkonyha; Stand; Bors GasztroBár; New York Café or Gerbeaud (café stop)</t>
  </si>
  <si>
    <t xml:space="preserve">Szimpla Sunday farmers' market; Kispiac; a lángos stall. Verify every venue is still trading.</t>
  </si>
  <si>
    <t xml:space="preserve">What food is Budapest famous for? | Is eating out in Budapest cheap? | Do you tip in Budapest restaurants? | What is lángos? | Is the Great Market Hall worth visiting? | Where to eat goulash in Budapest?</t>
  </si>
  <si>
    <t xml:space="preserve">Budapest hub (new); Bars in Budapest; Cafes in Budapest</t>
  </si>
  <si>
    <t xml:space="preserve">Top 10 Places to Eat in Osaka</t>
  </si>
  <si>
    <t xml:space="preserve">/top-10-places-to-eat-in-osaka/</t>
  </si>
  <si>
    <t xml:space="preserve">best food in osaka</t>
  </si>
  <si>
    <t xml:space="preserve">Osaka</t>
  </si>
  <si>
    <t xml:space="preserve">Finding the best places to eat in Osaka, from street food in Dotonbori to markets and okonomiyaki.</t>
  </si>
  <si>
    <t xml:space="preserve">Dotonbori street food; Kuromon Ichiba Market; Shinsekai kushikatsu; Mizuno (okonomiyaki); Hozenji Yokocho; Ura Namba izakayas; Tenjinbashisuji shopping street; Wanaka (takoyaki); Harukoma (sushi); Endo Sushi (Central Fish Market)</t>
  </si>
  <si>
    <t xml:space="preserve">Fukushima izakaya area; Rikuro's cheesecake; Kiji (okonomiyaki). Verify opening days and queue norms.</t>
  </si>
  <si>
    <t xml:space="preserve">What food is Osaka famous for? | Is Osaka the food capital of Japan? | Where to eat takoyaki in Osaka? | Is Kuromon Market worth it? | Do you need reservations in Osaka? | Is eating out in Osaka cheap?</t>
  </si>
  <si>
    <t xml:space="preserve">Osaka hub (new); Japan hub (existing Japan post); Day Trips from Osaka (#9)</t>
  </si>
  <si>
    <t xml:space="preserve">Top 10 Beer Halls &amp; Beer Gardens in Munich</t>
  </si>
  <si>
    <t xml:space="preserve">/top-10-beer-halls-beer-gardens-in-munich/</t>
  </si>
  <si>
    <t xml:space="preserve">best beer halls in munich</t>
  </si>
  <si>
    <t xml:space="preserve">Munich</t>
  </si>
  <si>
    <t xml:space="preserve">Drink</t>
  </si>
  <si>
    <t xml:space="preserve">Choosing which Munich beer halls and beer gardens to visit, what to order and how they work.</t>
  </si>
  <si>
    <t xml:space="preserve">Hofbräuhaus; Augustiner-Keller; Augustiner Bräustuben; Chinesischer Turm (English Garden); Hirschgarten; Löwenbräukeller; Paulaner am Nockherberg; Viktualienmarkt beer garden; Seehaus (English Garden); Weisses Bräuhaus (Schneider)</t>
  </si>
  <si>
    <t xml:space="preserve">Andechs Monastery (day trip); Aumeister; Taxisgarten</t>
  </si>
  <si>
    <t xml:space="preserve">What is the most famous beer hall in Munich? | Can you bring your own food to Munich beer gardens? | When are Munich beer gardens open? | What is the difference between a beer hall and a beer garden? | Is Hofbräuhaus worth visiting? | What beer should you order in Munich?</t>
  </si>
  <si>
    <t xml:space="preserve">Munich hub (new); Bars in Munich; Day Trips from Munich</t>
  </si>
  <si>
    <t xml:space="preserve">Post standard for new Top Travel Insider listicles (from the content review)</t>
  </si>
  <si>
    <t xml:space="preserve">Why it changed</t>
  </si>
  <si>
    <t xml:space="preserve">The first 20 new posts ran 1,369 to 1,682 words (median 1,423) with only a featured image, against a median of 4,312 words and 4 to 10 images on the older posts. Pages ranking for these searches typically run 2,500 to 4,000 words with a photo per item and practical detail.</t>
  </si>
  <si>
    <t xml:space="preserve">Target length</t>
  </si>
  <si>
    <t xml:space="preserve">2,500 to 3,000 useful words. Template minimum raised from 1,200 to 2,000. Word count isn't a ranking factor in itself; completeness is.</t>
  </si>
  <si>
    <t xml:space="preserve">Per item (x10)</t>
  </si>
  <si>
    <t xml:space="preserve">H2 + 250 to 350 words + one photo + practical box: How to get there / How long to spend / Best time of day / One specific tip.</t>
  </si>
  <si>
    <t xml:space="preserve">Photos</t>
  </si>
  <si>
    <t xml:space="preserve">Featured image plus 4 to 10 in-article (aim for one per item). Free Unsplash, alt text and credits, checked the same way as featured images. Needs the tti_render.py and images.py extension plus a BLOG_TEMPLATE.md update.</t>
  </si>
  <si>
    <t xml:space="preserve">Supporting sections</t>
  </si>
  <si>
    <t xml:space="preserve">Suggested plan for 1, 2 or 3 days; where to stay by area; getting around; budget in tiers (shoestring / mid-range / comfortable), never exact prices.</t>
  </si>
  <si>
    <t xml:space="preserve">5 or 6 per post (up from 3), taken from questions people actually search: confirm against Google's People Also Ask for the primary keyword.</t>
  </si>
  <si>
    <t xml:space="preserve">Fact checking</t>
  </si>
  <si>
    <t xml:space="preserve">Transport times, opening seasons, booking rules, venue status and site rules (e.g. Benagil, Blue Eye) checked against official sources. If it can't be confirmed, leave it out rather than guess.</t>
  </si>
  <si>
    <t xml:space="preserve">House rules</t>
  </si>
  <si>
    <t xml:space="preserve">No em or en dashes. UK spelling. No made-up first-hand stories. Schema as per the template.</t>
  </si>
  <si>
    <t xml:space="preserve">Workflow</t>
  </si>
  <si>
    <t xml:space="preserve">Every change goes into the Markdown files, then through tti_render.py, then onto the live posts. The same applies to fixing the 20 existing thin posts.</t>
  </si>
  <si>
    <t xml:space="preserve">Internal linking</t>
  </si>
  <si>
    <t xml:space="preserve">Each post links up to its hub, across to two siblings and to relevant live posts. The hubs link down to every spoke once live. See the Post Plan 'Internal links' column.</t>
  </si>
  <si>
    <t xml:space="preserve">Hub upgrades</t>
  </si>
  <si>
    <t xml:space="preserve">Existing posts acting as hubs (UK, Vietnam, Japan, USA, Thailand, Portugal, Peru, Edinburgh, London, Tokyo, NYC, Chicago, Amsterdam, Barcelona, Athens) get a short section per cluster linking to the spokes as they publish.</t>
  </si>
  <si>
    <t xml:space="preserve">Pillar rank</t>
  </si>
  <si>
    <t xml:space="preserve">Pillar (hub)</t>
  </si>
  <si>
    <t xml:space="preserve">Hub type</t>
  </si>
  <si>
    <t xml:space="preserve">Region</t>
  </si>
  <si>
    <t xml:space="preserve">Parent hub</t>
  </si>
  <si>
    <t xml:space="preserve">Pillar status</t>
  </si>
  <si>
    <t xml:space="preserve">Suggested pillar title</t>
  </si>
  <si>
    <t xml:space="preserve">Pillar keyword</t>
  </si>
  <si>
    <t xml:space="preserve">Pillar kw volume (US+UK)</t>
  </si>
  <si>
    <t xml:space="preserve">Pillar kw KD</t>
  </si>
  <si>
    <t xml:space="preserve">Direct spokes</t>
  </si>
  <si>
    <t xml:space="preserve">See &amp; do</t>
  </si>
  <si>
    <t xml:space="preserve">Beaches &amp; islands</t>
  </si>
  <si>
    <t xml:space="preserve">Towns, villages &amp; nature</t>
  </si>
  <si>
    <t xml:space="preserve">Spoke volume</t>
  </si>
  <si>
    <t xml:space="preserve">Spoke winnability</t>
  </si>
  <si>
    <t xml:space="preserve">Wave 1 spokes</t>
  </si>
  <si>
    <t xml:space="preserve">First spoke rank</t>
  </si>
  <si>
    <t xml:space="preserve">Build note</t>
  </si>
  <si>
    <t xml:space="preserve">Pillar URL</t>
  </si>
  <si>
    <t xml:space="preserve">Owner</t>
  </si>
  <si>
    <t xml:space="preserve">Pillar status (progress)</t>
  </si>
  <si>
    <t xml:space="preserve">Publish date</t>
  </si>
  <si>
    <t xml:space="preserve">Spokes published</t>
  </si>
  <si>
    <t xml:space="preserve">Notes</t>
  </si>
  <si>
    <t xml:space="preserve">England</t>
  </si>
  <si>
    <t xml:space="preserve">Country hub</t>
  </si>
  <si>
    <t xml:space="preserve">UK</t>
  </si>
  <si>
    <t xml:space="preserve">New pillar to create</t>
  </si>
  <si>
    <t xml:space="preserve">England Travel Guide: Where to Eat, Drink and Explore</t>
  </si>
  <si>
    <t xml:space="preserve">england travel guide</t>
  </si>
  <si>
    <t xml:space="preserve">Publish after its first 3 to 5 spokes so it launches with links to live content. Links down to child hubs: London.</t>
  </si>
  <si>
    <t xml:space="preserve">Not started</t>
  </si>
  <si>
    <t xml:space="preserve">Spain</t>
  </si>
  <si>
    <t xml:space="preserve">Europe</t>
  </si>
  <si>
    <t xml:space="preserve">Spain Travel Guide: Where to Eat, Drink and Explore</t>
  </si>
  <si>
    <t xml:space="preserve">spain travel guide</t>
  </si>
  <si>
    <t xml:space="preserve">Publish after its first 3 to 5 spokes so it launches with links to live content. Links down to child hubs: Barcelona, Madrid.</t>
  </si>
  <si>
    <t xml:space="preserve">Region hub</t>
  </si>
  <si>
    <t xml:space="preserve">Home / Destinations</t>
  </si>
  <si>
    <t xml:space="preserve">Europe Travel Guide: Best Places to Eat, Drink and Explore</t>
  </si>
  <si>
    <t xml:space="preserve">europe travel guide</t>
  </si>
  <si>
    <t xml:space="preserve">Publish after its first 3 to 5 spokes so it launches with links to live content. Links down to child hubs: Amsterdam, Berlin, Budapest, Copenhagen, Croatia, France, Greece, Ireland, Istanbul, Italy, Krakow, Munich, Portugal, Prague, Spain, Switzerland, Vienna.</t>
  </si>
  <si>
    <t xml:space="preserve">USA</t>
  </si>
  <si>
    <t xml:space="preserve">North America</t>
  </si>
  <si>
    <t xml:space="preserve">Existing USA post</t>
  </si>
  <si>
    <t xml:space="preserve">USA Travel Guide: Where to Eat, Drink and Explore</t>
  </si>
  <si>
    <t xml:space="preserve">usa travel guide</t>
  </si>
  <si>
    <t xml:space="preserve">Upgrade the existing post into a hub: add a section per cluster linking to each spoke. Links down to child hubs: Austin, Charleston, Chicago, Miami, Nashville, New Orleans, New York, San Francisco, Savannah.</t>
  </si>
  <si>
    <t xml:space="preserve">City hub</t>
  </si>
  <si>
    <t xml:space="preserve">Copenhagen Travel Guide: Where to Eat, Drink and Explore</t>
  </si>
  <si>
    <t xml:space="preserve">copenhagen travel guide</t>
  </si>
  <si>
    <t xml:space="preserve">Publish after its first 3 to 5 spokes so it launches with links to live content.</t>
  </si>
  <si>
    <t xml:space="preserve">Portugal</t>
  </si>
  <si>
    <t xml:space="preserve">Lisbon Travel Guide: Where to Eat, Drink and Explore</t>
  </si>
  <si>
    <t xml:space="preserve">lisbon travel guide</t>
  </si>
  <si>
    <t xml:space="preserve">Paris</t>
  </si>
  <si>
    <t xml:space="preserve">France</t>
  </si>
  <si>
    <t xml:space="preserve">Paris Travel Guide: Where to Eat, Drink and Explore</t>
  </si>
  <si>
    <t xml:space="preserve">paris travel guide</t>
  </si>
  <si>
    <t xml:space="preserve">Rome</t>
  </si>
  <si>
    <t xml:space="preserve">Italy</t>
  </si>
  <si>
    <t xml:space="preserve">Rome Travel Guide: Where to Eat, Drink and Explore</t>
  </si>
  <si>
    <t xml:space="preserve">rome travel guide</t>
  </si>
  <si>
    <t xml:space="preserve">Prague</t>
  </si>
  <si>
    <t xml:space="preserve">Prague Travel Guide: Where to Eat, Drink and Explore</t>
  </si>
  <si>
    <t xml:space="preserve">prague travel guide</t>
  </si>
  <si>
    <t xml:space="preserve">Madrid</t>
  </si>
  <si>
    <t xml:space="preserve">Madrid Travel Guide: Where to Eat, Drink and Explore</t>
  </si>
  <si>
    <t xml:space="preserve">madrid travel guide</t>
  </si>
  <si>
    <t xml:space="preserve">Scotland</t>
  </si>
  <si>
    <t xml:space="preserve">Existing Edinburgh post</t>
  </si>
  <si>
    <t xml:space="preserve">Edinburgh Travel Guide: Where to Eat, Drink and Explore</t>
  </si>
  <si>
    <t xml:space="preserve">edinburgh travel guide</t>
  </si>
  <si>
    <t xml:space="preserve">Upgrade the existing post into a hub: add a section per cluster linking to each spoke.</t>
  </si>
  <si>
    <t xml:space="preserve">Asia</t>
  </si>
  <si>
    <t xml:space="preserve">Japan</t>
  </si>
  <si>
    <t xml:space="preserve">Osaka Travel Guide: Where to Eat, Drink and Explore</t>
  </si>
  <si>
    <t xml:space="preserve">osaka travel guide</t>
  </si>
  <si>
    <t xml:space="preserve">Existing Tokyo post</t>
  </si>
  <si>
    <t xml:space="preserve">Tokyo Travel Guide: Where to Eat, Drink and Explore</t>
  </si>
  <si>
    <t xml:space="preserve">tokyo travel guide</t>
  </si>
  <si>
    <t xml:space="preserve">Italy Travel Guide: Where to Eat, Drink and Explore</t>
  </si>
  <si>
    <t xml:space="preserve">italy travel guide</t>
  </si>
  <si>
    <t xml:space="preserve">Publish after its first 3 to 5 spokes so it launches with links to live content. Links down to child hubs: Florence, Naples, Rome, Venice.</t>
  </si>
  <si>
    <t xml:space="preserve">Bangkok</t>
  </si>
  <si>
    <t xml:space="preserve">Thailand</t>
  </si>
  <si>
    <t xml:space="preserve">Bangkok Travel Guide: Where to Eat, Drink and Explore</t>
  </si>
  <si>
    <t xml:space="preserve">bangkok travel guide</t>
  </si>
  <si>
    <t xml:space="preserve">Existing London post</t>
  </si>
  <si>
    <t xml:space="preserve">London Travel Guide: Where to Eat, Drink and Explore</t>
  </si>
  <si>
    <t xml:space="preserve">london travel guide</t>
  </si>
  <si>
    <t xml:space="preserve">Barcelona</t>
  </si>
  <si>
    <t xml:space="preserve">Existing Barcelona post</t>
  </si>
  <si>
    <t xml:space="preserve">Barcelona Travel Guide: Where to Eat, Drink and Explore</t>
  </si>
  <si>
    <t xml:space="preserve">barcelona travel guide</t>
  </si>
  <si>
    <t xml:space="preserve">Florence</t>
  </si>
  <si>
    <t xml:space="preserve">Florence Travel Guide: Where to Eat, Drink and Explore</t>
  </si>
  <si>
    <t xml:space="preserve">florence travel guide</t>
  </si>
  <si>
    <t xml:space="preserve">Venice</t>
  </si>
  <si>
    <t xml:space="preserve">Venice Travel Guide: Where to Eat, Drink and Explore</t>
  </si>
  <si>
    <t xml:space="preserve">venice travel guide</t>
  </si>
  <si>
    <t xml:space="preserve">Existing Amsterdam post</t>
  </si>
  <si>
    <t xml:space="preserve">Amsterdam Travel Guide: Where to Eat, Drink and Explore</t>
  </si>
  <si>
    <t xml:space="preserve">amsterdam travel guide</t>
  </si>
  <si>
    <t xml:space="preserve">Singapore</t>
  </si>
  <si>
    <t xml:space="preserve">Singapore Travel Guide: Where to Eat, Drink and Explore</t>
  </si>
  <si>
    <t xml:space="preserve">singapore travel guide</t>
  </si>
  <si>
    <t xml:space="preserve">Nashville</t>
  </si>
  <si>
    <t xml:space="preserve">Nashville Travel Guide: Where to Eat, Drink and Explore</t>
  </si>
  <si>
    <t xml:space="preserve">nashville travel guide</t>
  </si>
  <si>
    <t xml:space="preserve">Athens</t>
  </si>
  <si>
    <t xml:space="preserve">Greece</t>
  </si>
  <si>
    <t xml:space="preserve">Existing Athens post</t>
  </si>
  <si>
    <t xml:space="preserve">Athens Travel Guide: Where to Eat, Drink and Explore</t>
  </si>
  <si>
    <t xml:space="preserve">athens travel guide</t>
  </si>
  <si>
    <t xml:space="preserve">Berlin</t>
  </si>
  <si>
    <t xml:space="preserve">Berlin Travel Guide: Where to Eat, Drink and Explore</t>
  </si>
  <si>
    <t xml:space="preserve">berlin travel guide</t>
  </si>
  <si>
    <t xml:space="preserve">New York</t>
  </si>
  <si>
    <t xml:space="preserve">Existing NYC post</t>
  </si>
  <si>
    <t xml:space="preserve">New York Travel Guide: Where to Eat, Drink and Explore</t>
  </si>
  <si>
    <t xml:space="preserve">new york travel guide</t>
  </si>
  <si>
    <t xml:space="preserve">Budapest Travel Guide: Where to Eat, Drink and Explore</t>
  </si>
  <si>
    <t xml:space="preserve">budapest travel guide</t>
  </si>
  <si>
    <t xml:space="preserve">Munich Travel Guide: Where to Eat, Drink and Explore</t>
  </si>
  <si>
    <t xml:space="preserve">munich travel guide</t>
  </si>
  <si>
    <t xml:space="preserve">New Orleans</t>
  </si>
  <si>
    <t xml:space="preserve">New Orleans Travel Guide: Where to Eat, Drink and Explore</t>
  </si>
  <si>
    <t xml:space="preserve">new orleans travel guide</t>
  </si>
  <si>
    <t xml:space="preserve">Dublin</t>
  </si>
  <si>
    <t xml:space="preserve">Ireland</t>
  </si>
  <si>
    <t xml:space="preserve">Dublin Travel Guide: Where to Eat, Drink and Explore</t>
  </si>
  <si>
    <t xml:space="preserve">dublin travel guide</t>
  </si>
  <si>
    <t xml:space="preserve">Kyoto</t>
  </si>
  <si>
    <t xml:space="preserve">Kyoto Travel Guide: Where to Eat, Drink and Explore</t>
  </si>
  <si>
    <t xml:space="preserve">kyoto travel guide</t>
  </si>
  <si>
    <t xml:space="preserve">Asia Travel Guide: Best Places to Eat, Drink and Explore</t>
  </si>
  <si>
    <t xml:space="preserve">asia travel guide</t>
  </si>
  <si>
    <t xml:space="preserve">Publish after its first 3 to 5 spokes so it launches with links to live content. Links down to child hubs: Hong Kong, Japan, Seoul, Singapore, Thailand, Vietnam.</t>
  </si>
  <si>
    <t xml:space="preserve">Canada</t>
  </si>
  <si>
    <t xml:space="preserve">Canada Travel Guide: Where to Eat, Drink and Explore</t>
  </si>
  <si>
    <t xml:space="preserve">canada travel guide</t>
  </si>
  <si>
    <t xml:space="preserve">Croatia</t>
  </si>
  <si>
    <t xml:space="preserve">Croatia Travel Guide: Where to Eat, Drink and Explore</t>
  </si>
  <si>
    <t xml:space="preserve">croatia travel guide</t>
  </si>
  <si>
    <t xml:space="preserve">Publish after its first 3 to 5 spokes so it launches with links to live content. Links down to child hubs: Dubrovnik.</t>
  </si>
  <si>
    <t xml:space="preserve">Glasgow</t>
  </si>
  <si>
    <t xml:space="preserve">Glasgow Travel Guide: Where to Eat, Drink and Explore</t>
  </si>
  <si>
    <t xml:space="preserve">glasgow travel guide</t>
  </si>
  <si>
    <t xml:space="preserve">Scotland Travel Guide: Where to Eat, Drink and Explore</t>
  </si>
  <si>
    <t xml:space="preserve">scotland travel guide</t>
  </si>
  <si>
    <t xml:space="preserve">Publish after its first 3 to 5 spokes so it launches with links to live content. Links down to child hubs: Edinburgh, Glasgow.</t>
  </si>
  <si>
    <t xml:space="preserve">Istanbul</t>
  </si>
  <si>
    <t xml:space="preserve">Istanbul Travel Guide: Where to Eat, Drink and Explore</t>
  </si>
  <si>
    <t xml:space="preserve">istanbul travel guide</t>
  </si>
  <si>
    <t xml:space="preserve">Vienna</t>
  </si>
  <si>
    <t xml:space="preserve">Vienna Travel Guide: Where to Eat, Drink and Explore</t>
  </si>
  <si>
    <t xml:space="preserve">vienna travel guide</t>
  </si>
  <si>
    <t xml:space="preserve">France Travel Guide: Where to Eat, Drink and Explore</t>
  </si>
  <si>
    <t xml:space="preserve">france travel guide</t>
  </si>
  <si>
    <t xml:space="preserve">Publish after its first 3 to 5 spokes so it launches with links to live content. Links down to child hubs: Paris.</t>
  </si>
  <si>
    <t xml:space="preserve">Hanoi</t>
  </si>
  <si>
    <t xml:space="preserve">Vietnam</t>
  </si>
  <si>
    <t xml:space="preserve">Hanoi Travel Guide: Where to Eat, Drink and Explore</t>
  </si>
  <si>
    <t xml:space="preserve">hanoi travel guide</t>
  </si>
  <si>
    <t xml:space="preserve">Australia</t>
  </si>
  <si>
    <t xml:space="preserve">Oceania</t>
  </si>
  <si>
    <t xml:space="preserve">Australia Travel Guide: Where to Eat, Drink and Explore</t>
  </si>
  <si>
    <t xml:space="preserve">australia travel guide</t>
  </si>
  <si>
    <t xml:space="preserve">Switzerland</t>
  </si>
  <si>
    <t xml:space="preserve">Switzerland Travel Guide: Where to Eat, Drink and Explore</t>
  </si>
  <si>
    <t xml:space="preserve">switzerland travel guide</t>
  </si>
  <si>
    <t xml:space="preserve">Existing UK post</t>
  </si>
  <si>
    <t xml:space="preserve">UK Travel Guide: Where to Eat, Drink and Explore</t>
  </si>
  <si>
    <t xml:space="preserve">uk travel guide</t>
  </si>
  <si>
    <t xml:space="preserve">Upgrade the existing post into a hub: add a section per cluster linking to each spoke. Links down to child hubs: England, Scotland, Wales.</t>
  </si>
  <si>
    <t xml:space="preserve">Naples</t>
  </si>
  <si>
    <t xml:space="preserve">Naples Travel Guide: Where to Eat, Drink and Explore</t>
  </si>
  <si>
    <t xml:space="preserve">naples travel guide</t>
  </si>
  <si>
    <t xml:space="preserve">Krakow</t>
  </si>
  <si>
    <t xml:space="preserve">Krakow Travel Guide: Where to Eat, Drink and Explore</t>
  </si>
  <si>
    <t xml:space="preserve">krakow travel guide</t>
  </si>
  <si>
    <t xml:space="preserve">Ireland Travel Guide: Where to Eat, Drink and Explore</t>
  </si>
  <si>
    <t xml:space="preserve">ireland travel guide</t>
  </si>
  <si>
    <t xml:space="preserve">Publish after its first 3 to 5 spokes so it launches with links to live content. Links down to child hubs: Dublin.</t>
  </si>
  <si>
    <t xml:space="preserve">Chicago</t>
  </si>
  <si>
    <t xml:space="preserve">Existing Chicago post</t>
  </si>
  <si>
    <t xml:space="preserve">Chicago Travel Guide: Where to Eat, Drink and Explore</t>
  </si>
  <si>
    <t xml:space="preserve">chicago travel guide</t>
  </si>
  <si>
    <t xml:space="preserve">Savannah</t>
  </si>
  <si>
    <t xml:space="preserve">Savannah Travel Guide: Where to Eat, Drink and Explore</t>
  </si>
  <si>
    <t xml:space="preserve">savannah travel guide</t>
  </si>
  <si>
    <t xml:space="preserve">Dubrovnik</t>
  </si>
  <si>
    <t xml:space="preserve">Dubrovnik Travel Guide: Where to Eat, Drink and Explore</t>
  </si>
  <si>
    <t xml:space="preserve">dubrovnik travel guide</t>
  </si>
  <si>
    <t xml:space="preserve">Wales</t>
  </si>
  <si>
    <t xml:space="preserve">Wales Travel Guide: Where to Eat, Drink and Explore</t>
  </si>
  <si>
    <t xml:space="preserve">wales travel guide</t>
  </si>
  <si>
    <t xml:space="preserve">Ho Chi Minh City</t>
  </si>
  <si>
    <t xml:space="preserve">Ho Chi Minh City Travel Guide: Where to Eat, Drink and Explore</t>
  </si>
  <si>
    <t xml:space="preserve">ho chi minh city travel guide</t>
  </si>
  <si>
    <t xml:space="preserve">Porto</t>
  </si>
  <si>
    <t xml:space="preserve">Porto Travel Guide: Where to Eat, Drink and Explore</t>
  </si>
  <si>
    <t xml:space="preserve">porto travel guide</t>
  </si>
  <si>
    <t xml:space="preserve">Greece Travel Guide: Where to Eat, Drink and Explore</t>
  </si>
  <si>
    <t xml:space="preserve">greece travel guide</t>
  </si>
  <si>
    <t xml:space="preserve">Publish after its first 3 to 5 spokes so it launches with links to live content. Links down to child hubs: Athens.</t>
  </si>
  <si>
    <t xml:space="preserve">Charleston</t>
  </si>
  <si>
    <t xml:space="preserve">Charleston Travel Guide: Where to Eat, Drink and Explore</t>
  </si>
  <si>
    <t xml:space="preserve">charleston travel guide</t>
  </si>
  <si>
    <t xml:space="preserve">Seoul</t>
  </si>
  <si>
    <t xml:space="preserve">Seoul Travel Guide: Where to Eat, Drink and Explore</t>
  </si>
  <si>
    <t xml:space="preserve">seoul travel guide</t>
  </si>
  <si>
    <t xml:space="preserve">Mexico</t>
  </si>
  <si>
    <t xml:space="preserve">Latin America &amp; Caribbean</t>
  </si>
  <si>
    <t xml:space="preserve">Mexico Travel Guide: Where to Eat, Drink and Explore</t>
  </si>
  <si>
    <t xml:space="preserve">mexico travel guide</t>
  </si>
  <si>
    <t xml:space="preserve">Hong Kong</t>
  </si>
  <si>
    <t xml:space="preserve">Hong Kong Travel Guide: Where to Eat, Drink and Explore</t>
  </si>
  <si>
    <t xml:space="preserve">hong kong travel guide</t>
  </si>
  <si>
    <t xml:space="preserve">San Francisco</t>
  </si>
  <si>
    <t xml:space="preserve">San Francisco Travel Guide: Where to Eat, Drink and Explore</t>
  </si>
  <si>
    <t xml:space="preserve">san francisco travel guide</t>
  </si>
  <si>
    <t xml:space="preserve">Existing Vietnam post (Sapa, Hue, Ninh Binh posts sit under it)</t>
  </si>
  <si>
    <t xml:space="preserve">Vietnam Travel Guide: Where to Eat, Drink and Explore</t>
  </si>
  <si>
    <t xml:space="preserve">vietnam travel guide</t>
  </si>
  <si>
    <t xml:space="preserve">Upgrade the existing post into a hub: add a section per cluster linking to each spoke. Links down to child hubs: Hanoi, Ho Chi Minh City.</t>
  </si>
  <si>
    <t xml:space="preserve">Africa &amp; Middle East</t>
  </si>
  <si>
    <t xml:space="preserve">Africa &amp; Middle East Travel Guide: Best Places to Eat, Drink and Explore</t>
  </si>
  <si>
    <t xml:space="preserve">africa &amp; middle east travel guide</t>
  </si>
  <si>
    <t xml:space="preserve">Peru</t>
  </si>
  <si>
    <t xml:space="preserve">Existing Peru post</t>
  </si>
  <si>
    <t xml:space="preserve">Peru Travel Guide: Where to Eat, Drink and Explore</t>
  </si>
  <si>
    <t xml:space="preserve">peru travel guide</t>
  </si>
  <si>
    <t xml:space="preserve">Global</t>
  </si>
  <si>
    <t xml:space="preserve">Travel Inspiration: The World's Best Bars, Food and Places</t>
  </si>
  <si>
    <t xml:space="preserve">(no single head term)</t>
  </si>
  <si>
    <t xml:space="preserve">Austin</t>
  </si>
  <si>
    <t xml:space="preserve">Austin Travel Guide: Where to Eat, Drink and Explore</t>
  </si>
  <si>
    <t xml:space="preserve">austin travel guide</t>
  </si>
  <si>
    <t xml:space="preserve">Miami</t>
  </si>
  <si>
    <t xml:space="preserve">Miami Travel Guide: Where to Eat, Drink and Explore</t>
  </si>
  <si>
    <t xml:space="preserve">miami travel guide</t>
  </si>
  <si>
    <t xml:space="preserve">Existing Portugal post</t>
  </si>
  <si>
    <t xml:space="preserve">Portugal Travel Guide: Where to Eat, Drink and Explore</t>
  </si>
  <si>
    <t xml:space="preserve">portugal travel guide</t>
  </si>
  <si>
    <t xml:space="preserve">Upgrade the existing post into a hub: add a section per cluster linking to each spoke. Links down to child hubs: Lisbon, Porto.</t>
  </si>
  <si>
    <t xml:space="preserve">Existing Thailand post</t>
  </si>
  <si>
    <t xml:space="preserve">Thailand Travel Guide: Where to Eat, Drink and Explore</t>
  </si>
  <si>
    <t xml:space="preserve">thailand travel guide</t>
  </si>
  <si>
    <t xml:space="preserve">Upgrade the existing post into a hub: add a section per cluster linking to each spoke. Links down to child hubs: Bangkok.</t>
  </si>
  <si>
    <t xml:space="preserve">Latin America &amp; Caribbean Travel Guide: Best Places to Eat, Drink and Explore</t>
  </si>
  <si>
    <t xml:space="preserve">latin america &amp; caribbean travel guide</t>
  </si>
  <si>
    <t xml:space="preserve">Publish after its first 3 to 5 spokes so it launches with links to live content. Links down to child hubs: Mexico, Peru.</t>
  </si>
  <si>
    <t xml:space="preserve">Existing Japan post</t>
  </si>
  <si>
    <t xml:space="preserve">Japan Travel Guide: Where to Eat, Drink and Explore</t>
  </si>
  <si>
    <t xml:space="preserve">japan travel guide</t>
  </si>
  <si>
    <t xml:space="preserve">Upgrade the existing post into a hub: add a section per cluster linking to each spoke. Links down to child hubs: Kyoto, Osaka, Tokyo.</t>
  </si>
  <si>
    <t xml:space="preserve">Total</t>
  </si>
  <si>
    <t xml:space="preserve">#115 Places to Eat in Liverpool
#174 Places to Eat in Bristol
#341 Places to Eat in Brighton</t>
  </si>
  <si>
    <t xml:space="preserve">#123 Bars in Cambridge
#321 Bars in Manchester</t>
  </si>
  <si>
    <t xml:space="preserve">#53 Day Trips from Oxford
#67 Day Trips from Bristol
#83 Day Trips from Bath
#89 Day Trips from York
#133 Day Trips from Liverpool</t>
  </si>
  <si>
    <t xml:space="preserve">#142 Beaches in England
#270 Beaches in Cornwall</t>
  </si>
  <si>
    <t xml:space="preserve">#145 Villages in England
#156 Villages in the Cotswolds
#157 Villages in Yorkshire
#235 Villages in Cornwall</t>
  </si>
  <si>
    <t xml:space="preserve">#32 Places to Eat in Seville
#34 Pintxos Bars in San Sebastián
#149 Tapas Bars in Seville
#263 Foods to Try in Spain
#300 Tapas Bars in Malaga</t>
  </si>
  <si>
    <t xml:space="preserve">#95 Bars in Malaga</t>
  </si>
  <si>
    <t xml:space="preserve">#21 Day Trips from Valencia
#116 Day Trips from Granada</t>
  </si>
  <si>
    <t xml:space="preserve">#231 Hidden Gems in Spain</t>
  </si>
  <si>
    <t xml:space="preserve">#128 Islands in Spain
#303 Beaches in Mallorca
#304 Beaches in Tenerife
#335 Beaches in Ibiza</t>
  </si>
  <si>
    <t xml:space="preserve">#286 Small Towns in Spain</t>
  </si>
  <si>
    <t xml:space="preserve">#31 Places to Eat in Ljubljana</t>
  </si>
  <si>
    <t xml:space="preserve">#42 Day Trips from Salzburg
#78 Day Trips from Frankfurt
#211 Day Trips from Bruges</t>
  </si>
  <si>
    <t xml:space="preserve">#104 Hidden Gems in Europe</t>
  </si>
  <si>
    <t xml:space="preserve">#23 Beaches in Europe
#200 Islands in Europe
#223 Beaches in Cyprus
#225 Beaches in Turkey
#281 Beaches in Malta</t>
  </si>
  <si>
    <t xml:space="preserve">#209 National Parks in Europe</t>
  </si>
  <si>
    <t xml:space="preserve">#66 Places to Eat in Hilton Head
#151 Places to Eat in Myrtle Beach
#152 Places to Eat in Louisville
#196 Places to Eat in St. Augustine
#203 Places to Eat in Santa Fe
#206 Places to Eat in Key West</t>
  </si>
  <si>
    <t xml:space="preserve">#112 Bars in Honolulu
#138 Bars in Hilton Head
#144 Bars in Breckenridge</t>
  </si>
  <si>
    <t xml:space="preserve">#80 Day Trips from Las Vegas
#139 Day Trips from Los Angeles</t>
  </si>
  <si>
    <t xml:space="preserve">#345 Beaches in Florida</t>
  </si>
  <si>
    <t xml:space="preserve">#106 National Parks in the US</t>
  </si>
  <si>
    <t xml:space="preserve">#2 Places to Eat in Copenhagen
#11 Cafes in Copenhagen</t>
  </si>
  <si>
    <t xml:space="preserve">#18 Bars in Copenhagen</t>
  </si>
  <si>
    <t xml:space="preserve">#61 Day Trips from Copenhagen</t>
  </si>
  <si>
    <t xml:space="preserve">#6 Places to Eat in Lisbon
#171 Places for Pastel de Nata in Lisbon
#185 Cafes in Lisbon
#191 Foods to Try in Lisbon
#230 Brunch Spots in Lisbon</t>
  </si>
  <si>
    <t xml:space="preserve">#92 Bars in Lisbon
#154 Rooftop Bars in Lisbon
#311 Wine Bars in Lisbon</t>
  </si>
  <si>
    <t xml:space="preserve">#4 Day Trips from Lisbon</t>
  </si>
  <si>
    <t xml:space="preserve">#36 Foods to Try in Paris
#49 Brunch Spots in Paris
#188 Places to Eat in Paris
#287 Street Foods to Try in Paris</t>
  </si>
  <si>
    <t xml:space="preserve">#62 Bars in Paris
#102 Wine Bars in Paris</t>
  </si>
  <si>
    <t xml:space="preserve">#24 Day Trips from Paris</t>
  </si>
  <si>
    <t xml:space="preserve">#86 Hidden Gems in Paris</t>
  </si>
  <si>
    <t xml:space="preserve">#84 Foods to Try in Rome
#97 Places to Eat in Rome
#101 Cafes in Rome
#269 Street Foods to Try in Rome</t>
  </si>
  <si>
    <t xml:space="preserve">#14 Bars in Rome
#33 Rooftop Bars in Rome
#271 Wine Bars in Rome</t>
  </si>
  <si>
    <t xml:space="preserve">#58 Hidden Gems in Rome</t>
  </si>
  <si>
    <t xml:space="preserve">#25 Places to Eat in Prague
#81 Cafes in Prague
#148 Foods to Try in Prague
#306 Street Foods to Try in Prague</t>
  </si>
  <si>
    <t xml:space="preserve">#10 Pubs in Prague
#73 Bars in Prague</t>
  </si>
  <si>
    <t xml:space="preserve">#93 Day Trips from Prague</t>
  </si>
  <si>
    <t xml:space="preserve">#20 Places to Eat in Madrid
#221 Brunch Spots in Madrid
#310 Cafes in Madrid</t>
  </si>
  <si>
    <t xml:space="preserve">#13 Bars in Madrid
#143 Rooftop Bars in Madrid</t>
  </si>
  <si>
    <t xml:space="preserve">#19 Day Trips from Madrid</t>
  </si>
  <si>
    <t xml:space="preserve">#158 Afternoon Teas in Edinburgh
#159 Fish and Chip Shops in Edinburgh
#254 Cafes in Edinburgh
#344 Places to Eat in Edinburgh</t>
  </si>
  <si>
    <t xml:space="preserve">#87 Bars in Edinburgh
#323 Whisky Bars in Edinburgh
#336 Pubs in Edinburgh</t>
  </si>
  <si>
    <t xml:space="preserve">#1 Day Trips from Edinburgh</t>
  </si>
  <si>
    <t xml:space="preserve">#17 Places to Eat in Osaka
#125 Ramen Shops in Osaka
#155 Sushi Spots in Osaka
#276 Foods to Try in Osaka</t>
  </si>
  <si>
    <t xml:space="preserve">#212 Bars in Osaka</t>
  </si>
  <si>
    <t xml:space="preserve">#9 Day Trips from Osaka</t>
  </si>
  <si>
    <t xml:space="preserve">#343 Things to Do in Osaka</t>
  </si>
  <si>
    <t xml:space="preserve">#146 Cafes in Tokyo
#162 Places to Eat in Tokyo
#195 Street Foods to Try in Tokyo
#238 Foods to Try in Tokyo</t>
  </si>
  <si>
    <t xml:space="preserve">#82 Bars in Tokyo</t>
  </si>
  <si>
    <t xml:space="preserve">#3 Day Trips from Tokyo</t>
  </si>
  <si>
    <t xml:space="preserve">#205 Foods to Try in Italy
#250 Places to Eat in Bologna</t>
  </si>
  <si>
    <t xml:space="preserve">#30 Day Trips from Bologna
#136 Day Trips from Sorrento
#260 Day Trips from Milan</t>
  </si>
  <si>
    <t xml:space="preserve">#57 Hidden Gems in Italy</t>
  </si>
  <si>
    <t xml:space="preserve">#240 Islands in Italy
#284 Beaches in Italy
#325 Beaches in Sardinia</t>
  </si>
  <si>
    <t xml:space="preserve">#207 Small Towns in Italy</t>
  </si>
  <si>
    <t xml:space="preserve">#59 Places to Eat in Bangkok
#74 Night Markets in Bangkok
#181 Street Foods to Try in Bangkok
#201 Places for Pad Thai in Bangkok
#292 Cafes in Bangkok</t>
  </si>
  <si>
    <t xml:space="preserve">#40 Bars in Bangkok</t>
  </si>
  <si>
    <t xml:space="preserve">#124 Day Trips from Bangkok</t>
  </si>
  <si>
    <t xml:space="preserve">#118 Brunch Spots in London
#241 Street Foods to Try in London
#248 Food Markets in London
#268 Cafes in London
#291 Places to Eat in London
#328 Afternoon Teas in London</t>
  </si>
  <si>
    <t xml:space="preserve">#278 Rooftop Bars in London
#346 Pubs in London</t>
  </si>
  <si>
    <t xml:space="preserve">#7 Day Trips from London
#72 Weekend Getaways from London</t>
  </si>
  <si>
    <t xml:space="preserve">#8 Places to Eat in Barcelona
#193 Cafes in Barcelona</t>
  </si>
  <si>
    <t xml:space="preserve">#189 Rooftop Bars in Barcelona
#192 Bars in Barcelona</t>
  </si>
  <si>
    <t xml:space="preserve">#65 Day Trips from Barcelona</t>
  </si>
  <si>
    <t xml:space="preserve">#147 Beaches in Barcelona</t>
  </si>
  <si>
    <t xml:space="preserve">#29 Places to Eat in Florence
#44 Places for Pasta in Florence
#135 Cafes in Florence</t>
  </si>
  <si>
    <t xml:space="preserve">#35 Bars in Florence
#232 Rooftop Bars in Florence</t>
  </si>
  <si>
    <t xml:space="preserve">#55 Gelato Shops in Venice
#64 Places to Eat in Venice
#75 Cafes in Venice
#168 Foods to Try in Venice</t>
  </si>
  <si>
    <t xml:space="preserve">#85 Day Trips from Venice</t>
  </si>
  <si>
    <t xml:space="preserve">#275 Hidden Gems in Venice</t>
  </si>
  <si>
    <t xml:space="preserve">#88 Foods to Try in Amsterdam
#177 Street Foods to Try in Amsterdam
#199 Places to Eat in Amsterdam
#246 Brunch Spots in Amsterdam</t>
  </si>
  <si>
    <t xml:space="preserve">#167 Bars in Amsterdam</t>
  </si>
  <si>
    <t xml:space="preserve">#15 Day Trips from Amsterdam</t>
  </si>
  <si>
    <t xml:space="preserve">#37 Places to Eat in Singapore
#208 Cafes in Singapore
#264 Street Foods to Try in Singapore
#320 Foods to Try in Singapore
#324 Brunch Spots in Singapore</t>
  </si>
  <si>
    <t xml:space="preserve">#22 Bars in Singapore</t>
  </si>
  <si>
    <t xml:space="preserve">#243 Day Trips from Singapore</t>
  </si>
  <si>
    <t xml:space="preserve">#26 Places to Eat in Nashville
#76 Cafes in Nashville
#140 Brunch Spots in Nashville
#329 Hot Chicken Spots in Nashville</t>
  </si>
  <si>
    <t xml:space="preserve">#186 Bars in Nashville</t>
  </si>
  <si>
    <t xml:space="preserve">#313 Things to Do in Nashville</t>
  </si>
  <si>
    <t xml:space="preserve">#50 Places to Eat in Athens
#141 Brunch Spots in Athens
#288 Cafes in Athens</t>
  </si>
  <si>
    <t xml:space="preserve">#164 Bars in Athens
#249 Rooftop Bars in Athens</t>
  </si>
  <si>
    <t xml:space="preserve">#71 Day Trips from Athens</t>
  </si>
  <si>
    <t xml:space="preserve">#5 Places to Eat in Berlin
#127 Cafes in Berlin</t>
  </si>
  <si>
    <t xml:space="preserve">#99 Bars in Berlin</t>
  </si>
  <si>
    <t xml:space="preserve">#229 Cafes in New York
#237 Brunch Spots in New York
#307 Places to Eat in New York
#333 Street Foods to Try in New York</t>
  </si>
  <si>
    <t xml:space="preserve">#69 Bars in New York
#120 Rooftop Bars in New York</t>
  </si>
  <si>
    <t xml:space="preserve">#91 Day Trips from New York</t>
  </si>
  <si>
    <t xml:space="preserve">#16 Places to Eat in Budapest
#54 Cafes in Budapest</t>
  </si>
  <si>
    <t xml:space="preserve">#179 Bars in Budapest</t>
  </si>
  <si>
    <t xml:space="preserve">#27 Beer Halls &amp; Beer Gardens in Munich
#137 Bars in Munich</t>
  </si>
  <si>
    <t xml:space="preserve">#52 Day Trips from Munich</t>
  </si>
  <si>
    <t xml:space="preserve">#113 Places for Beignets in New Orleans
#126 Places to Eat in New Orleans
#160 Foods to Try in New Orleans
#239 Brunch Spots in New Orleans
#322 Cafes in New Orleans</t>
  </si>
  <si>
    <t xml:space="preserve">#296 Bars in New Orleans
#326 Rooftop Bars in New Orleans</t>
  </si>
  <si>
    <t xml:space="preserve">#169 Hidden Gems in New Orleans</t>
  </si>
  <si>
    <t xml:space="preserve">#77 Brunch Spots in Dublin
#114 Places to Eat in Dublin
#163 Cafes in Dublin</t>
  </si>
  <si>
    <t xml:space="preserve">#107 Bars in Dublin</t>
  </si>
  <si>
    <t xml:space="preserve">#12 Places to Eat in Kyoto
#204 Foods to Try in Kyoto</t>
  </si>
  <si>
    <t xml:space="preserve">#134 Day Trips from Kyoto</t>
  </si>
  <si>
    <t xml:space="preserve">#314 Things to Do in Kyoto</t>
  </si>
  <si>
    <t xml:space="preserve">#117 Places to Eat in Bali
#190 Places to Eat in Taipei</t>
  </si>
  <si>
    <t xml:space="preserve">#121 Day Trips from Taipei</t>
  </si>
  <si>
    <t xml:space="preserve">#197 Beaches in Malaysia
#217 Beaches in Sri Lanka
#218 Beaches in Indonesia</t>
  </si>
  <si>
    <t xml:space="preserve">#293 Places to Eat in Montreal
#297 Places to Eat in Quebec City</t>
  </si>
  <si>
    <t xml:space="preserve">#122 Bars in Vancouver</t>
  </si>
  <si>
    <t xml:space="preserve">#94 Day Trips from Montreal
#165 Day Trips from Toronto
#175 Day Trips from Vancouver</t>
  </si>
  <si>
    <t xml:space="preserve">#96 Day Trips from Split</t>
  </si>
  <si>
    <t xml:space="preserve">#150 Places to Visit in Croatia</t>
  </si>
  <si>
    <t xml:space="preserve">#51 Islands in Croatia
#213 Beaches in Croatia</t>
  </si>
  <si>
    <t xml:space="preserve">#56 Places to Eat in Glasgow</t>
  </si>
  <si>
    <t xml:space="preserve">#224 Pubs in Glasgow
#282 Bars in Glasgow</t>
  </si>
  <si>
    <t xml:space="preserve">#39 Day Trips from Glasgow</t>
  </si>
  <si>
    <t xml:space="preserve">#110 Day Trips from Inverness
#266 Day Trips from Aberdeen
#316 Day Trips from Fort William</t>
  </si>
  <si>
    <t xml:space="preserve">#161 Hidden Gems in Scotland
#347 Places to Visit in Scotland</t>
  </si>
  <si>
    <t xml:space="preserve">#255 Beaches in Scotland
#258 Islands in Scotland</t>
  </si>
  <si>
    <t xml:space="preserve">#172 Towns in Scotland</t>
  </si>
  <si>
    <t xml:space="preserve">#90 Places to Eat in Istanbul
#256 Kebab Spots in Istanbul
#339 Street Foods to Try in Istanbul</t>
  </si>
  <si>
    <t xml:space="preserve">#178 Bars in Istanbul</t>
  </si>
  <si>
    <t xml:space="preserve">#105 Day Trips from Istanbul</t>
  </si>
  <si>
    <t xml:space="preserve">#46 Places to Eat in Vienna
#257 Foods to Try in Vienna</t>
  </si>
  <si>
    <t xml:space="preserve">#63 Bars in Vienna</t>
  </si>
  <si>
    <t xml:space="preserve">#285 Foods to Try in France</t>
  </si>
  <si>
    <t xml:space="preserve">#60 Day Trips from Nice
#132 Day Trips from Bordeaux</t>
  </si>
  <si>
    <t xml:space="preserve">#265 Hidden Gems in France</t>
  </si>
  <si>
    <t xml:space="preserve">#295 Small Towns in France</t>
  </si>
  <si>
    <t xml:space="preserve">#43 Places to Eat in Hanoi
#220 Cafes in Hanoi
#233 Pho Spots in Hanoi
#301 Banh Mi Spots in Hanoi</t>
  </si>
  <si>
    <t xml:space="preserve">#252 Bars in Hanoi</t>
  </si>
  <si>
    <t xml:space="preserve">#234 Cafes in Melbourne</t>
  </si>
  <si>
    <t xml:space="preserve">#130 Day Trips from Sydney
#202 Day Trips from Melbourne</t>
  </si>
  <si>
    <t xml:space="preserve">#98 Beaches in Australia</t>
  </si>
  <si>
    <t xml:space="preserve">#79 Day Trips from Lucerne
#103 Day Trips from Zurich
#182 Day Trips from Interlaken</t>
  </si>
  <si>
    <t xml:space="preserve">#251 Places to Eat in Belfast</t>
  </si>
  <si>
    <t xml:space="preserve">#227 Day Trips from Belfast</t>
  </si>
  <si>
    <t xml:space="preserve">#41 Christmas Markets in the UK</t>
  </si>
  <si>
    <t xml:space="preserve">#184 Places to Eat in Naples</t>
  </si>
  <si>
    <t xml:space="preserve">#100 Bars in Naples</t>
  </si>
  <si>
    <t xml:space="preserve">#131 Day Trips from Naples</t>
  </si>
  <si>
    <t xml:space="preserve">#259 Places to Eat in Krakow</t>
  </si>
  <si>
    <t xml:space="preserve">#273 Bars in Krakow</t>
  </si>
  <si>
    <t xml:space="preserve">#28 Day Trips from Krakow</t>
  </si>
  <si>
    <t xml:space="preserve">#153 Day Trips from Cork</t>
  </si>
  <si>
    <t xml:space="preserve">#38 Beaches in Ireland</t>
  </si>
  <si>
    <t xml:space="preserve">#70 Brunch Spots in Chicago
#274 Street Foods to Try in Chicago
#330 Cafes in Chicago</t>
  </si>
  <si>
    <t xml:space="preserve">#315 Bars in Chicago</t>
  </si>
  <si>
    <t xml:space="preserve">#244 Day Trips from Chicago</t>
  </si>
  <si>
    <t xml:space="preserve">#45 Places to Eat in Savannah</t>
  </si>
  <si>
    <t xml:space="preserve">#337 Rooftop Bars in Savannah</t>
  </si>
  <si>
    <t xml:space="preserve">#180 Day Trips from Savannah</t>
  </si>
  <si>
    <t xml:space="preserve">#194 Places to Eat in Dubrovnik</t>
  </si>
  <si>
    <t xml:space="preserve">#317 Bars in Dubrovnik</t>
  </si>
  <si>
    <t xml:space="preserve">#48 Beaches in Dubrovnik</t>
  </si>
  <si>
    <t xml:space="preserve">#170 Places to Eat in Cardiff</t>
  </si>
  <si>
    <t xml:space="preserve">#111 Day Trips from Cardiff</t>
  </si>
  <si>
    <t xml:space="preserve">#261 Hidden Gems in Wales</t>
  </si>
  <si>
    <t xml:space="preserve">#176 Places to Eat in Ho Chi Minh City
#222 Pho Spots in Ho Chi Minh City</t>
  </si>
  <si>
    <t xml:space="preserve">#267 Bars in Ho Chi Minh City</t>
  </si>
  <si>
    <t xml:space="preserve">#187 Day Trips from Ho Chi Minh City</t>
  </si>
  <si>
    <t xml:space="preserve">#68 Places to Eat in Porto
#299 Cafes in Porto</t>
  </si>
  <si>
    <t xml:space="preserve">#294 Bars in Porto</t>
  </si>
  <si>
    <t xml:space="preserve">#226 Foods to Try in Greece</t>
  </si>
  <si>
    <t xml:space="preserve">#331 Hidden Gems in Greece</t>
  </si>
  <si>
    <t xml:space="preserve">#119 Beaches in Greece
#302 Beaches in Crete</t>
  </si>
  <si>
    <t xml:space="preserve">#216 Places to Eat in Charleston
#318 Brunch Spots in Charleston
#342 Seafood Restaurants in Charleston</t>
  </si>
  <si>
    <t xml:space="preserve">#109 Day Trips from Charleston</t>
  </si>
  <si>
    <t xml:space="preserve">#108 Places to Eat in Seoul
#305 Foods to Try in Seoul</t>
  </si>
  <si>
    <t xml:space="preserve">#210 Bars in Seoul</t>
  </si>
  <si>
    <t xml:space="preserve">#247 Street Foods to Try in Mexico City
#338 Foods to Try in Mexico</t>
  </si>
  <si>
    <t xml:space="preserve">#289 Rooftop Bars in Mexico City</t>
  </si>
  <si>
    <t xml:space="preserve">#173 Day Trips from Cancun</t>
  </si>
  <si>
    <t xml:space="preserve">#327 Beaches in Mexico</t>
  </si>
  <si>
    <t xml:space="preserve">#245 Places to Eat in Hong Kong
#283 Foods to Try in Hong Kong</t>
  </si>
  <si>
    <t xml:space="preserve">#219 Bars in Hong Kong</t>
  </si>
  <si>
    <t xml:space="preserve">#214 Day Trips from Hong Kong</t>
  </si>
  <si>
    <t xml:space="preserve">#279 Brunch Spots in San Francisco
#280 Places to Eat in San Francisco</t>
  </si>
  <si>
    <t xml:space="preserve">#198 Bars in San Francisco</t>
  </si>
  <si>
    <t xml:space="preserve">#340 Day Trips from San Francisco</t>
  </si>
  <si>
    <t xml:space="preserve">#277 Things to Do in San Francisco</t>
  </si>
  <si>
    <t xml:space="preserve">#47 Places to Eat in Hoi An</t>
  </si>
  <si>
    <t xml:space="preserve">#183 Places to Eat in Dubai</t>
  </si>
  <si>
    <t xml:space="preserve">#215 Day Trips from Cairo
#262 Day Trips from Cape Town</t>
  </si>
  <si>
    <t xml:space="preserve">#236 Places to Eat in Lima</t>
  </si>
  <si>
    <t xml:space="preserve">#166 Day Trips from Cusco</t>
  </si>
  <si>
    <t xml:space="preserve">#129 Cocktail Bars in the World</t>
  </si>
  <si>
    <t xml:space="preserve">#312 Places to Eat in Austin</t>
  </si>
  <si>
    <t xml:space="preserve">#253 Bars in Austin</t>
  </si>
  <si>
    <t xml:space="preserve">#298 Day Trips from Austin</t>
  </si>
  <si>
    <t xml:space="preserve">#228 Brunch Spots in Miami
#309 Places to Eat in Miami</t>
  </si>
  <si>
    <t xml:space="preserve">#332 Beaches in Miami</t>
  </si>
  <si>
    <t xml:space="preserve">#242 Foods to Try in Portugal</t>
  </si>
  <si>
    <t xml:space="preserve">#290 Beaches in Portugal</t>
  </si>
  <si>
    <t xml:space="preserve">#272 Places to Eat in Chiang Mai</t>
  </si>
  <si>
    <t xml:space="preserve">#319 Day Trips from Chiang Mai</t>
  </si>
  <si>
    <t xml:space="preserve">#308 Islands in the Caribbean
#334 Beaches in the Caribbean</t>
  </si>
  <si>
    <t xml:space="preserve">Rank</t>
  </si>
  <si>
    <t xml:space="preserve">Wave</t>
  </si>
  <si>
    <t xml:space="preserve">Category</t>
  </si>
  <si>
    <t xml:space="preserve">Topic type</t>
  </si>
  <si>
    <t xml:space="preserve">Place</t>
  </si>
  <si>
    <t xml:space="preserve">Country</t>
  </si>
  <si>
    <t xml:space="preserve">US volume</t>
  </si>
  <si>
    <t xml:space="preserve">UK volume</t>
  </si>
  <si>
    <t xml:space="preserve">Total volume</t>
  </si>
  <si>
    <t xml:space="preserve">Weighted KD</t>
  </si>
  <si>
    <t xml:space="preserve">Winnability score</t>
  </si>
  <si>
    <t xml:space="preserve">Tier</t>
  </si>
  <si>
    <t xml:space="preserve">Secondary keywords (same post)</t>
  </si>
  <si>
    <t xml:space="preserve">Stretch head terms (KD &gt; 40)</t>
  </si>
  <si>
    <t xml:space="preserve">Internal links (pillar + siblings)</t>
  </si>
  <si>
    <t xml:space="preserve">Existing post note</t>
  </si>
  <si>
    <t xml:space="preserve">Data flag</t>
  </si>
  <si>
    <t xml:space="preserve">Status</t>
  </si>
  <si>
    <t xml:space="preserve">Target publish date</t>
  </si>
  <si>
    <t xml:space="preserve">Day trips</t>
  </si>
  <si>
    <t xml:space="preserve">best day trips from edinburgh scotland</t>
  </si>
  <si>
    <t xml:space="preserve">Pillar: Edinburgh hub; #87 Top 10 Bars in Edinburgh; #158 Top 10 Afternoon Teas in Edinburgh</t>
  </si>
  <si>
    <t xml:space="preserve">Related existing post (Edinburgh): new angle, interlink both ways</t>
  </si>
  <si>
    <t xml:space="preserve">In review</t>
  </si>
  <si>
    <t xml:space="preserve">Draft written: posts/top-10-day-trips-from-edinburgh.md. Content only, internal links to do. Check: Remaining ScotRail timings; Tantallon, Culross, Falkirk Wheel seasons.</t>
  </si>
  <si>
    <t xml:space="preserve">Food &amp; drink</t>
  </si>
  <si>
    <t xml:space="preserve">Where to eat</t>
  </si>
  <si>
    <t xml:space="preserve">Denmark</t>
  </si>
  <si>
    <t xml:space="preserve">best places to eat in copenhagen; best food in copenhagen; best restaurants in copenhagen</t>
  </si>
  <si>
    <t xml:space="preserve">best restaurants in copenhagen (US 1100/KD61)</t>
  </si>
  <si>
    <t xml:space="preserve">Pillar: Copenhagen hub; #11 Top 10 Cafes in Copenhagen; #18 Top 10 Bars in Copenhagen</t>
  </si>
  <si>
    <t xml:space="preserve">Draft written: posts/top-10-places-to-eat-in-copenhagen.md. Content only, internal links to do. Check: Confirm all 10 venues still trading, Reffen season, Alchemist booking window.</t>
  </si>
  <si>
    <t xml:space="preserve">day trip from tokyo</t>
  </si>
  <si>
    <t xml:space="preserve">Pillar: Tokyo hub; #82 Top 10 Bars in Tokyo; #146 Top 10 Cafes in Tokyo</t>
  </si>
  <si>
    <t xml:space="preserve">Related existing post (Tokyo): new angle, interlink both ways</t>
  </si>
  <si>
    <t xml:space="preserve">Draft written: posts/top-10-day-trips-from-tokyo.md. Content only, internal links to do. Check: Confirm journey times on Japan Transit Planner; Hakone Free Pass and Tobu pass terms.</t>
  </si>
  <si>
    <t xml:space="preserve">best day trips from lisbon</t>
  </si>
  <si>
    <t xml:space="preserve">Pillar: Lisbon hub; #6 Top 10 Places to Eat in Lisbon; #92 Top 10 Bars in Lisbon</t>
  </si>
  <si>
    <t xml:space="preserve">Draft written: posts/top-10-day-trips-from-lisbon.md. Content only, internal links to do. Check: Confirm CP times; Sintra palace ticketing; Arrábida summer access rules.</t>
  </si>
  <si>
    <t xml:space="preserve">Top 10 Places to Eat in Berlin</t>
  </si>
  <si>
    <t xml:space="preserve">best places to eat in berlin</t>
  </si>
  <si>
    <t xml:space="preserve">Germany</t>
  </si>
  <si>
    <t xml:space="preserve">best food in berlin; best restaurants in berlin</t>
  </si>
  <si>
    <t xml:space="preserve">Pillar: Berlin hub; #127 Top 10 Cafes in Berlin; #99 Top 10 Bars in Berlin</t>
  </si>
  <si>
    <t xml:space="preserve">Recent volume spike, verify before prioritising</t>
  </si>
  <si>
    <t xml:space="preserve">best places to eat in lisbon; best restaurants in lisbon</t>
  </si>
  <si>
    <t xml:space="preserve">Pillar: Lisbon hub; #171 Top 10 Places for Pastel de Nata in Lisbon; #185 Top 10 Cafes in Lisbon</t>
  </si>
  <si>
    <t xml:space="preserve">Draft written: posts/top-10-places-to-eat-in-lisbon.md. Content only, internal links to do. Check: Confirm venues trading; Taberna da Rua das Flores booking policy.</t>
  </si>
  <si>
    <t xml:space="preserve">day trips from london</t>
  </si>
  <si>
    <t xml:space="preserve">day trips from london (US 2900/KD59)</t>
  </si>
  <si>
    <t xml:space="preserve">Pillar: London hub; #72 Top 10 Weekend Getaways from London; #118 Top 10 Brunch Spots in London</t>
  </si>
  <si>
    <t xml:space="preserve">Related existing post (London): new angle, interlink both ways</t>
  </si>
  <si>
    <t xml:space="preserve">Draft written: posts/top-10-day-trips-from-london.md. Content only, internal links to do. Check: Confirm National Rail times; Windsor guard schedule; Stonehenge booking.</t>
  </si>
  <si>
    <t xml:space="preserve">Top 10 Places to Eat in Barcelona</t>
  </si>
  <si>
    <t xml:space="preserve">best places to eat in barcelona</t>
  </si>
  <si>
    <t xml:space="preserve">best restaurants in barcelona; best food in barcelona</t>
  </si>
  <si>
    <t xml:space="preserve">Pillar: Barcelona hub; #193 Top 10 Cafes in Barcelona; #65 Top 10 Day Trips from Barcelona</t>
  </si>
  <si>
    <t xml:space="preserve">Related existing post (Barcelona): new angle, interlink both ways</t>
  </si>
  <si>
    <t xml:space="preserve">Top 10 Day Trips from Osaka</t>
  </si>
  <si>
    <t xml:space="preserve">day trips from osaka</t>
  </si>
  <si>
    <t xml:space="preserve">Pillar: Osaka hub; #17 Top 10 Places to Eat in Osaka; #125 Top 10 Ramen Shops in Osaka</t>
  </si>
  <si>
    <t xml:space="preserve">Top 10 Pubs in Prague</t>
  </si>
  <si>
    <t xml:space="preserve">best pubs in prague</t>
  </si>
  <si>
    <t xml:space="preserve">Pubs &amp; beer</t>
  </si>
  <si>
    <t xml:space="preserve">Czechia</t>
  </si>
  <si>
    <t xml:space="preserve">best beer in prague</t>
  </si>
  <si>
    <t xml:space="preserve">Pillar: Prague hub; #73 Top 10 Bars in Prague; #25 Top 10 Places to Eat in Prague</t>
  </si>
  <si>
    <t xml:space="preserve">Top 10 Cafes in Copenhagen</t>
  </si>
  <si>
    <t xml:space="preserve">best cafes in copenhagen</t>
  </si>
  <si>
    <t xml:space="preserve">Cafes</t>
  </si>
  <si>
    <t xml:space="preserve">Pillar: Copenhagen hub; #2 Top 10 Places to Eat in Copenhagen; #18 Top 10 Bars in Copenhagen</t>
  </si>
  <si>
    <t xml:space="preserve">Top 10 Places to Eat in Kyoto</t>
  </si>
  <si>
    <t xml:space="preserve">best food in kyoto</t>
  </si>
  <si>
    <t xml:space="preserve">best restaurants in kyoto; best places to eat in kyoto</t>
  </si>
  <si>
    <t xml:space="preserve">Pillar: Kyoto hub; #204 Top 10 Foods to Try in Kyoto; #134 Top 10 Day Trips from Kyoto</t>
  </si>
  <si>
    <t xml:space="preserve">Top 10 Bars in Madrid</t>
  </si>
  <si>
    <t xml:space="preserve">best bars in madrid</t>
  </si>
  <si>
    <t xml:space="preserve">Bars &amp; cocktail bars</t>
  </si>
  <si>
    <t xml:space="preserve">best cocktail bars in madrid</t>
  </si>
  <si>
    <t xml:space="preserve">Pillar: Madrid hub; #143 Top 10 Rooftop Bars in Madrid; #19 Top 10 Day Trips from Madrid</t>
  </si>
  <si>
    <t xml:space="preserve">Top 10 Bars in Rome</t>
  </si>
  <si>
    <t xml:space="preserve">best bars in rome</t>
  </si>
  <si>
    <t xml:space="preserve">Pillar: Rome hub; #33 Top 10 Rooftop Bars in Rome; #271 Top 10 Wine Bars in Rome</t>
  </si>
  <si>
    <t xml:space="preserve">Netherlands</t>
  </si>
  <si>
    <t xml:space="preserve">day trips from amsterdam</t>
  </si>
  <si>
    <t xml:space="preserve">Pillar: Amsterdam hub; #88 Top 10 Foods to Try in Amsterdam; #167 Top 10 Bars in Amsterdam</t>
  </si>
  <si>
    <t xml:space="preserve">Related existing post (Amsterdam): new angle, interlink both ways</t>
  </si>
  <si>
    <t xml:space="preserve">Draft written: posts/top-10-day-trips-from-amsterdam.md. Content only, internal links to do. Check: Confirm Keukenhof dates for the year; Dom Tower tour booking; Binnenhof renovation status.</t>
  </si>
  <si>
    <t xml:space="preserve">Hungary</t>
  </si>
  <si>
    <t xml:space="preserve">best restaurants in budapest; best places to eat in budapest</t>
  </si>
  <si>
    <t xml:space="preserve">Pillar: Budapest hub; #54 Top 10 Cafes in Budapest; #179 Top 10 Bars in Budapest</t>
  </si>
  <si>
    <t xml:space="preserve">Draft written: posts/top-10-places-to-eat-in-budapest.md. Content only, internal links to do. Check: Confirm venues trading; Great Market Hall Sunday closure; service-charge wording.</t>
  </si>
  <si>
    <t xml:space="preserve">best places to eat in osaka; best restaurants in osaka</t>
  </si>
  <si>
    <t xml:space="preserve">Pillar: Osaka hub; #125 Top 10 Ramen Shops in Osaka; #155 Top 10 Sushi Spots in Osaka</t>
  </si>
  <si>
    <t xml:space="preserve">Draft written: posts/top-10-places-to-eat-in-osaka.md. Content only, internal links to do. Check: Confirm opening days (Endo Sushi, market closures), branch locations for Wanaka and Daruma.</t>
  </si>
  <si>
    <t xml:space="preserve">Top 10 Bars in Copenhagen</t>
  </si>
  <si>
    <t xml:space="preserve">best bars in copenhagen</t>
  </si>
  <si>
    <t xml:space="preserve">Pillar: Copenhagen hub; #2 Top 10 Places to Eat in Copenhagen; #11 Top 10 Cafes in Copenhagen</t>
  </si>
  <si>
    <t xml:space="preserve">Top 10 Day Trips from Madrid</t>
  </si>
  <si>
    <t xml:space="preserve">day trips from madrid</t>
  </si>
  <si>
    <t xml:space="preserve">Pillar: Madrid hub; #13 Top 10 Bars in Madrid; #20 Top 10 Places to Eat in Madrid</t>
  </si>
  <si>
    <t xml:space="preserve">Top 10 Places to Eat in Madrid</t>
  </si>
  <si>
    <t xml:space="preserve">where to eat in madrid</t>
  </si>
  <si>
    <t xml:space="preserve">best places to eat in madrid; best restaurants in madrid</t>
  </si>
  <si>
    <t xml:space="preserve">Pillar: Madrid hub; #221 Top 10 Brunch Spots in Madrid; #311 Top 10 Cafes in Madrid</t>
  </si>
  <si>
    <t xml:space="preserve">Top 10 Day Trips from Valencia</t>
  </si>
  <si>
    <t xml:space="preserve">day trips from valencia</t>
  </si>
  <si>
    <t xml:space="preserve">Valencia</t>
  </si>
  <si>
    <t xml:space="preserve">Pillar: Spain hub; #116 Top 10 Day Trips from Granada; #32 Top 10 Places to Eat in Seville</t>
  </si>
  <si>
    <t xml:space="preserve">Top 10 Bars in Singapore</t>
  </si>
  <si>
    <t xml:space="preserve">best bars in singapore</t>
  </si>
  <si>
    <t xml:space="preserve">best cocktail bars in singapore</t>
  </si>
  <si>
    <t xml:space="preserve">Pillar: Singapore hub; #37 Top 10 Places to Eat in Singapore; #208 Top 10 Cafes in Singapore</t>
  </si>
  <si>
    <t xml:space="preserve">Top 10 Beaches in Europe</t>
  </si>
  <si>
    <t xml:space="preserve">best beaches in europe</t>
  </si>
  <si>
    <t xml:space="preserve">Beaches</t>
  </si>
  <si>
    <t xml:space="preserve">best beaches in europe (US 1900/KD58)</t>
  </si>
  <si>
    <t xml:space="preserve">Pillar: Europe hub; #200 Top 10 Islands in Europe; #223 Top 10 Beaches in Cyprus</t>
  </si>
  <si>
    <t xml:space="preserve">Top 10 Day Trips from Paris</t>
  </si>
  <si>
    <t xml:space="preserve">best day trips from paris</t>
  </si>
  <si>
    <t xml:space="preserve">day trips from paris</t>
  </si>
  <si>
    <t xml:space="preserve">day trips from paris (US 3200/KD60)</t>
  </si>
  <si>
    <t xml:space="preserve">Pillar: Paris hub; #36 Top 10 Foods to Try in Paris; #49 Top 10 Brunch Spots in Paris</t>
  </si>
  <si>
    <t xml:space="preserve">Top 10 Places to Eat in Prague</t>
  </si>
  <si>
    <t xml:space="preserve">best food in prague</t>
  </si>
  <si>
    <t xml:space="preserve">where to eat in prague; best places to eat in prague; best restaurants in prague</t>
  </si>
  <si>
    <t xml:space="preserve">Pillar: Prague hub; #81 Top 10 Cafes in Prague; #148 Top 10 Foods to Try in Prague</t>
  </si>
  <si>
    <t xml:space="preserve">Top 10 Places to Eat in Nashville</t>
  </si>
  <si>
    <t xml:space="preserve">best food in nashville</t>
  </si>
  <si>
    <t xml:space="preserve">best restaurants in nashville; best places to eat in nashville</t>
  </si>
  <si>
    <t xml:space="preserve">best restaurants in nashville (US 33100/KD79); best places to eat in nashville (US 2400/KD50)</t>
  </si>
  <si>
    <t xml:space="preserve">Pillar: Nashville hub; #76 Top 10 Cafes in Nashville; #140 Top 10 Brunch Spots in Nashville</t>
  </si>
  <si>
    <t xml:space="preserve">Beer halls &amp; gardens</t>
  </si>
  <si>
    <t xml:space="preserve">best beer gardens in munich</t>
  </si>
  <si>
    <t xml:space="preserve">Pillar: Munich hub; #137 Top 10 Bars in Munich; #52 Top 10 Day Trips from Munich</t>
  </si>
  <si>
    <t xml:space="preserve">Draft written: posts/top-10-beer-halls-and-beer-gardens-in-munich.md. Content only, internal links to do. Check: Confirm season dates and Starkbierfest timing; Augustiner Holzfass availability.</t>
  </si>
  <si>
    <t xml:space="preserve">Top 10 Day Trips from Krakow</t>
  </si>
  <si>
    <t xml:space="preserve">day trips from krakow</t>
  </si>
  <si>
    <t xml:space="preserve">Poland</t>
  </si>
  <si>
    <t xml:space="preserve">Pillar: Krakow hub; #259 Top 10 Places to Eat in Krakow; #273 Top 10 Bars in Krakow</t>
  </si>
  <si>
    <t xml:space="preserve">Top 10 Places to Eat in Florence</t>
  </si>
  <si>
    <t xml:space="preserve">where to eat in florence</t>
  </si>
  <si>
    <t xml:space="preserve">best food in florence; best restaurants in florence</t>
  </si>
  <si>
    <t xml:space="preserve">best restaurants in florence (US 2900/KD54)</t>
  </si>
  <si>
    <t xml:space="preserve">Pillar: Florence hub; #44 Top 10 Places for Pasta in Florence; #135 Top 10 Cafes in Florence</t>
  </si>
  <si>
    <t xml:space="preserve">Top 10 Day Trips from Bologna</t>
  </si>
  <si>
    <t xml:space="preserve">day trips from bologna</t>
  </si>
  <si>
    <t xml:space="preserve">Bologna</t>
  </si>
  <si>
    <t xml:space="preserve">Pillar: Italy hub; #136 Top 10 Day Trips from Sorrento; #260 Top 10 Day Trips from Milan</t>
  </si>
  <si>
    <t xml:space="preserve">Top 10 Places to Eat in Ljubljana</t>
  </si>
  <si>
    <t xml:space="preserve">best restaurants in ljubljana</t>
  </si>
  <si>
    <t xml:space="preserve">Ljubljana</t>
  </si>
  <si>
    <t xml:space="preserve">Slovenia</t>
  </si>
  <si>
    <t xml:space="preserve">Pillar: Europe hub; #23 Top 10 Beaches in Europe; #42 Top 10 Day Trips from Salzburg</t>
  </si>
  <si>
    <t xml:space="preserve">Top 10 Places to Eat in Seville</t>
  </si>
  <si>
    <t xml:space="preserve">best places to eat in seville</t>
  </si>
  <si>
    <t xml:space="preserve">Seville</t>
  </si>
  <si>
    <t xml:space="preserve">best food in seville; best restaurants in seville</t>
  </si>
  <si>
    <t xml:space="preserve">Pillar: Spain hub; #34 Top 10 Pintxos Bars in San Sebastián; #149 Top 10 Tapas Bars in Seville</t>
  </si>
  <si>
    <t xml:space="preserve">Top 10 Rooftop Bars in Rome</t>
  </si>
  <si>
    <t xml:space="preserve">best rooftop bars in rome</t>
  </si>
  <si>
    <t xml:space="preserve">Rooftop bars</t>
  </si>
  <si>
    <t xml:space="preserve">Pillar: Rome hub; #14 Top 10 Bars in Rome; #271 Top 10 Wine Bars in Rome</t>
  </si>
  <si>
    <t xml:space="preserve">Top 10 Pintxos Bars in San Sebastián</t>
  </si>
  <si>
    <t xml:space="preserve">best pintxos in san sebastian</t>
  </si>
  <si>
    <t xml:space="preserve">Dish: Pintxos</t>
  </si>
  <si>
    <t xml:space="preserve">San Sebastián</t>
  </si>
  <si>
    <t xml:space="preserve">Pillar: Spain hub; #32 Top 10 Places to Eat in Seville; #149 Top 10 Tapas Bars in Seville</t>
  </si>
  <si>
    <t xml:space="preserve">Top 10 Bars in Florence</t>
  </si>
  <si>
    <t xml:space="preserve">best bars in florence</t>
  </si>
  <si>
    <t xml:space="preserve">Pillar: Florence hub; #232 Top 10 Rooftop Bars in Florence; #29 Top 10 Places to Eat in Florence</t>
  </si>
  <si>
    <t xml:space="preserve">Top 10 Foods to Try in Paris</t>
  </si>
  <si>
    <t xml:space="preserve">what to eat in paris</t>
  </si>
  <si>
    <t xml:space="preserve">What to eat</t>
  </si>
  <si>
    <t xml:space="preserve">Pillar: Paris hub; #49 Top 10 Brunch Spots in Paris; #188 Top 10 Places to Eat in Paris</t>
  </si>
  <si>
    <t xml:space="preserve">Top 10 Places to Eat in Singapore</t>
  </si>
  <si>
    <t xml:space="preserve">best food in singapore</t>
  </si>
  <si>
    <t xml:space="preserve">best places to eat in singapore</t>
  </si>
  <si>
    <t xml:space="preserve">Pillar: Singapore hub; #208 Top 10 Cafes in Singapore; #264 Top 10 Street Foods to Try in Singapore</t>
  </si>
  <si>
    <t xml:space="preserve">Top 10 Beaches in Ireland</t>
  </si>
  <si>
    <t xml:space="preserve">best beaches in ireland</t>
  </si>
  <si>
    <t xml:space="preserve">Pillar: Ireland hub; #153 Top 10 Day Trips from Cork</t>
  </si>
  <si>
    <t xml:space="preserve">Top 10 Day Trips from Glasgow</t>
  </si>
  <si>
    <t xml:space="preserve">day trips from glasgow</t>
  </si>
  <si>
    <t xml:space="preserve">best day trips from glasgow</t>
  </si>
  <si>
    <t xml:space="preserve">Pillar: Glasgow hub; #56 Top 10 Places to Eat in Glasgow; #224 Top 10 Pubs in Glasgow</t>
  </si>
  <si>
    <t xml:space="preserve">Top 10 Bars in Bangkok</t>
  </si>
  <si>
    <t xml:space="preserve">best bars in bangkok</t>
  </si>
  <si>
    <t xml:space="preserve">best cocktail bars in bangkok</t>
  </si>
  <si>
    <t xml:space="preserve">Pillar: Bangkok hub; #59 Top 10 Places to Eat in Bangkok; #74 Top 10 Night Markets in Bangkok</t>
  </si>
  <si>
    <t xml:space="preserve">Top 10 Christmas Markets in the UK</t>
  </si>
  <si>
    <t xml:space="preserve">best christmas markets in uk</t>
  </si>
  <si>
    <t xml:space="preserve">Christmas markets</t>
  </si>
  <si>
    <t xml:space="preserve">the UK</t>
  </si>
  <si>
    <t xml:space="preserve">Pillar: UK hub; #283 Top 10 Hidden Gems in the UK; #227 Top 10 Day Trips from Belfast</t>
  </si>
  <si>
    <t xml:space="preserve">Interlink with live UK posts (castles, historic places, weekend getaways)</t>
  </si>
  <si>
    <t xml:space="preserve">Top 10 Day Trips from Salzburg</t>
  </si>
  <si>
    <t xml:space="preserve">day trips from salzburg</t>
  </si>
  <si>
    <t xml:space="preserve">Salzburg</t>
  </si>
  <si>
    <t xml:space="preserve">Austria</t>
  </si>
  <si>
    <t xml:space="preserve">Pillar: Europe hub; #78 Top 10 Day Trips from Frankfurt; #211 Top 10 Day Trips from Bruges</t>
  </si>
  <si>
    <t xml:space="preserve">Top 10 Places to Eat in Hanoi</t>
  </si>
  <si>
    <t xml:space="preserve">best restaurants in hanoi</t>
  </si>
  <si>
    <t xml:space="preserve">best food in hanoi; best places to eat in hanoi</t>
  </si>
  <si>
    <t xml:space="preserve">Pillar: Hanoi hub; #220 Top 10 Cafes in Hanoi; #233 Top 10 Pho Spots in Hanoi</t>
  </si>
  <si>
    <t xml:space="preserve">Top 10 Places for Pasta in Florence</t>
  </si>
  <si>
    <t xml:space="preserve">best pasta in florence</t>
  </si>
  <si>
    <t xml:space="preserve">Dish: Pasta</t>
  </si>
  <si>
    <t xml:space="preserve">Pillar: Florence hub; #29 Top 10 Places to Eat in Florence; #135 Top 10 Cafes in Florence</t>
  </si>
  <si>
    <t xml:space="preserve">Top 10 Places to Eat in Savannah</t>
  </si>
  <si>
    <t xml:space="preserve">best restaurant in savannah ga</t>
  </si>
  <si>
    <t xml:space="preserve">best places to eat in savannah; best restaurants in savannah; best food in savannah</t>
  </si>
  <si>
    <t xml:space="preserve">best restaurants in savannah (US 33100/KD68)</t>
  </si>
  <si>
    <t xml:space="preserve">Pillar: Savannah hub; #180 Top 10 Day Trips from Savannah; #338 Top 10 Rooftop Bars in Savannah</t>
  </si>
  <si>
    <t xml:space="preserve">Top 10 Places to Eat in Vienna</t>
  </si>
  <si>
    <t xml:space="preserve">best food in vienna</t>
  </si>
  <si>
    <t xml:space="preserve">best places to eat in vienna; best restaurants in vienna</t>
  </si>
  <si>
    <t xml:space="preserve">Pillar: Vienna hub; #257 Top 10 Foods to Try in Vienna; #63 Top 10 Bars in Vienna</t>
  </si>
  <si>
    <t xml:space="preserve">Top 10 Places to Eat in Hoi An</t>
  </si>
  <si>
    <t xml:space="preserve">best restaurants in hoi an</t>
  </si>
  <si>
    <t xml:space="preserve">Hoi An</t>
  </si>
  <si>
    <t xml:space="preserve">Pillar: Vietnam hub; </t>
  </si>
  <si>
    <t xml:space="preserve">Top 10 Beaches in Dubrovnik</t>
  </si>
  <si>
    <t xml:space="preserve">best beaches in dubrovnik</t>
  </si>
  <si>
    <t xml:space="preserve">Pillar: Dubrovnik hub; #194 Top 10 Places to Eat in Dubrovnik; #318 Top 10 Bars in Dubrovnik</t>
  </si>
  <si>
    <t xml:space="preserve">Top 10 Brunch Spots in Paris</t>
  </si>
  <si>
    <t xml:space="preserve">best brunch in paris</t>
  </si>
  <si>
    <t xml:space="preserve">Brunch</t>
  </si>
  <si>
    <t xml:space="preserve">Pillar: Paris hub; #36 Top 10 Foods to Try in Paris; #188 Top 10 Places to Eat in Paris</t>
  </si>
  <si>
    <t xml:space="preserve">Top 10 Places to Eat in Athens</t>
  </si>
  <si>
    <t xml:space="preserve">best places to eat in athens</t>
  </si>
  <si>
    <t xml:space="preserve">best restaurants in athens; best food in athens</t>
  </si>
  <si>
    <t xml:space="preserve">Pillar: Athens hub; #141 Top 10 Brunch Spots in Athens; #289 Top 10 Cafes in Athens</t>
  </si>
  <si>
    <t xml:space="preserve">Related existing post (Athens): new angle, interlink both ways</t>
  </si>
  <si>
    <t xml:space="preserve">Top 10 Islands in Croatia</t>
  </si>
  <si>
    <t xml:space="preserve">best islands in croatia</t>
  </si>
  <si>
    <t xml:space="preserve">Islands</t>
  </si>
  <si>
    <t xml:space="preserve">Pillar: Croatia hub; #213 Top 10 Beaches in Croatia; #96 Top 10 Day Trips from Split</t>
  </si>
  <si>
    <t xml:space="preserve">Top 10 Day Trips from Munich</t>
  </si>
  <si>
    <t xml:space="preserve">day trips from munich</t>
  </si>
  <si>
    <t xml:space="preserve">Pillar: Munich hub; #27 Top 10 Beer Halls &amp; Beer Gardens in Munich; #137 Top 10 Bars in Munich</t>
  </si>
  <si>
    <t xml:space="preserve">Top 10 Day Trips from Oxford</t>
  </si>
  <si>
    <t xml:space="preserve">day trips from oxford</t>
  </si>
  <si>
    <t xml:space="preserve">Oxford</t>
  </si>
  <si>
    <t xml:space="preserve">Pillar: England hub; #67 Top 10 Day Trips from Bristol; #83 Top 10 Day Trips from Bath</t>
  </si>
  <si>
    <t xml:space="preserve">Top 10 Cafes in Budapest</t>
  </si>
  <si>
    <t xml:space="preserve">best cafes in budapest</t>
  </si>
  <si>
    <t xml:space="preserve">Pillar: Budapest hub; #16 Top 10 Places to Eat in Budapest; #179 Top 10 Bars in Budapest</t>
  </si>
  <si>
    <t xml:space="preserve">Top 10 Gelato Shops in Venice</t>
  </si>
  <si>
    <t xml:space="preserve">best gelato in venice</t>
  </si>
  <si>
    <t xml:space="preserve">Dish: Gelato</t>
  </si>
  <si>
    <t xml:space="preserve">Pillar: Venice hub; #64 Top 10 Places to Eat in Venice; #75 Top 10 Cafes in Venice</t>
  </si>
  <si>
    <t xml:space="preserve">Top 10 Places to Eat in Glasgow</t>
  </si>
  <si>
    <t xml:space="preserve">best restaurants in glasgow</t>
  </si>
  <si>
    <t xml:space="preserve">best food in glasgow; best places to eat in glasgow</t>
  </si>
  <si>
    <t xml:space="preserve">Pillar: Glasgow hub; #39 Top 10 Day Trips from Glasgow; #224 Top 10 Pubs in Glasgow</t>
  </si>
  <si>
    <t xml:space="preserve">Top 10 Hidden Gems in Italy</t>
  </si>
  <si>
    <t xml:space="preserve">hidden gems in italy</t>
  </si>
  <si>
    <t xml:space="preserve">Hidden gems</t>
  </si>
  <si>
    <t xml:space="preserve">Pillar: Italy hub; #30 Top 10 Day Trips from Bologna; #136 Top 10 Day Trips from Sorrento</t>
  </si>
  <si>
    <t xml:space="preserve">Top 10 Hidden Gems in Rome</t>
  </si>
  <si>
    <t xml:space="preserve">hidden gems in rome</t>
  </si>
  <si>
    <t xml:space="preserve">Pillar: Rome hub; #14 Top 10 Bars in Rome; #33 Top 10 Rooftop Bars in Rome</t>
  </si>
  <si>
    <t xml:space="preserve">Top 10 Places to Eat in Bangkok</t>
  </si>
  <si>
    <t xml:space="preserve">best food in bangkok</t>
  </si>
  <si>
    <t xml:space="preserve">best places to eat in bangkok; where to eat in bangkok; best restaurants in bangkok</t>
  </si>
  <si>
    <t xml:space="preserve">Pillar: Bangkok hub; #74 Top 10 Night Markets in Bangkok; #181 Top 10 Street Foods to Try in Bangkok</t>
  </si>
  <si>
    <t xml:space="preserve">Top 10 Day Trips from Nice</t>
  </si>
  <si>
    <t xml:space="preserve">day trips from nice</t>
  </si>
  <si>
    <t xml:space="preserve">Nice</t>
  </si>
  <si>
    <t xml:space="preserve">Pillar: France hub; #132 Top 10 Day Trips from Bordeaux; #265 Top 10 Hidden Gems in France</t>
  </si>
  <si>
    <t xml:space="preserve">Top 10 Day Trips from Copenhagen</t>
  </si>
  <si>
    <t xml:space="preserve">day trips from copenhagen</t>
  </si>
  <si>
    <t xml:space="preserve">Top 10 Bars in Paris</t>
  </si>
  <si>
    <t xml:space="preserve">best cocktail bars in paris</t>
  </si>
  <si>
    <t xml:space="preserve">Pillar: Paris hub; #102 Top 10 Wine Bars in Paris; #24 Top 10 Day Trips from Paris</t>
  </si>
  <si>
    <t xml:space="preserve">Top 10 Bars in Vienna</t>
  </si>
  <si>
    <t xml:space="preserve">best bars in vienna</t>
  </si>
  <si>
    <t xml:space="preserve">Pillar: Vienna hub; #46 Top 10 Places to Eat in Vienna; #257 Top 10 Foods to Try in Vienna</t>
  </si>
  <si>
    <t xml:space="preserve">Top 10 Places to Eat in Venice</t>
  </si>
  <si>
    <t xml:space="preserve">best places to eat in venice</t>
  </si>
  <si>
    <t xml:space="preserve">best food in venice; best restaurants in venice</t>
  </si>
  <si>
    <t xml:space="preserve">best restaurants in venice (US 1100/KD59)</t>
  </si>
  <si>
    <t xml:space="preserve">Pillar: Venice hub; #55 Top 10 Gelato Shops in Venice; #75 Top 10 Cafes in Venice</t>
  </si>
  <si>
    <t xml:space="preserve">Top 10 Day Trips from Barcelona</t>
  </si>
  <si>
    <t xml:space="preserve">day trip from barcelona</t>
  </si>
  <si>
    <t xml:space="preserve">day trips from barcelona (US 2400/KD64)</t>
  </si>
  <si>
    <t xml:space="preserve">Pillar: Barcelona hub; #8 Top 10 Places to Eat in Barcelona; #147 Top 10 Beaches in Barcelona</t>
  </si>
  <si>
    <t xml:space="preserve">Top 10 Places to Eat in Hilton Head</t>
  </si>
  <si>
    <t xml:space="preserve">best restaurants in hilton head</t>
  </si>
  <si>
    <t xml:space="preserve">Hilton Head</t>
  </si>
  <si>
    <t xml:space="preserve">Pillar: USA hub; #151 Top 10 Places to Eat in Myrtle Beach; #152 Top 10 Places to Eat in Louisville</t>
  </si>
  <si>
    <t xml:space="preserve">Top 10 Day Trips from Bristol</t>
  </si>
  <si>
    <t xml:space="preserve">day trips from bristol</t>
  </si>
  <si>
    <t xml:space="preserve">Bristol</t>
  </si>
  <si>
    <t xml:space="preserve">Pillar: England hub; #53 Top 10 Day Trips from Oxford; #83 Top 10 Day Trips from Bath</t>
  </si>
  <si>
    <t xml:space="preserve">Top 10 Places to Eat in Porto</t>
  </si>
  <si>
    <t xml:space="preserve">best places to eat in porto</t>
  </si>
  <si>
    <t xml:space="preserve">best food in porto; best restaurants in porto</t>
  </si>
  <si>
    <t xml:space="preserve">Pillar: Porto hub; #300 Top 10 Cafes in Porto; #295 Top 10 Bars in Porto</t>
  </si>
  <si>
    <t xml:space="preserve">Top 10 Bars in New York</t>
  </si>
  <si>
    <t xml:space="preserve">best bars in new york</t>
  </si>
  <si>
    <t xml:space="preserve">best cocktail bars in new york</t>
  </si>
  <si>
    <t xml:space="preserve">Pillar: New York hub; #120 Top 10 Rooftop Bars in New York; #91 Top 10 Day Trips from New York</t>
  </si>
  <si>
    <t xml:space="preserve">Related existing post (New York): new angle, interlink both ways</t>
  </si>
  <si>
    <t xml:space="preserve">Top 10 Brunch Spots in Chicago</t>
  </si>
  <si>
    <t xml:space="preserve">best brunch in chicago</t>
  </si>
  <si>
    <t xml:space="preserve">Pillar: Chicago hub; #274 Top 10 Street Foods to Try in Chicago; #331 Top 10 Cafes in Chicago</t>
  </si>
  <si>
    <t xml:space="preserve">Related existing post (Chicago): new angle, interlink both ways</t>
  </si>
  <si>
    <t xml:space="preserve">Top 10 Day Trips from Athens</t>
  </si>
  <si>
    <t xml:space="preserve">day trips from athens</t>
  </si>
  <si>
    <t xml:space="preserve">Pillar: Athens hub; #50 Top 10 Places to Eat in Athens; #141 Top 10 Brunch Spots in Athens</t>
  </si>
  <si>
    <t xml:space="preserve">Top 10 Weekend Getaways from London</t>
  </si>
  <si>
    <t xml:space="preserve">best weekend getaways from london</t>
  </si>
  <si>
    <t xml:space="preserve">Weekend getaways</t>
  </si>
  <si>
    <t xml:space="preserve">Pillar: London hub; #7 Top 10 Day Trips from London; #118 Top 10 Brunch Spots in London</t>
  </si>
  <si>
    <t xml:space="preserve">Overlaps live 'Top 10 Weekend Getaways in the UK': keep the angle London-specific (trips by train from London) and interlink</t>
  </si>
  <si>
    <t xml:space="preserve">Top 10 Bars in Prague</t>
  </si>
  <si>
    <t xml:space="preserve">best bars in prague</t>
  </si>
  <si>
    <t xml:space="preserve">best cocktail bars in prague</t>
  </si>
  <si>
    <t xml:space="preserve">Pillar: Prague hub; #10 Top 10 Pubs in Prague; #25 Top 10 Places to Eat in Prague</t>
  </si>
  <si>
    <t xml:space="preserve">Top 10 Night Markets in Bangkok</t>
  </si>
  <si>
    <t xml:space="preserve">best night markets in bangkok</t>
  </si>
  <si>
    <t xml:space="preserve">Night markets</t>
  </si>
  <si>
    <t xml:space="preserve">Pillar: Bangkok hub; #59 Top 10 Places to Eat in Bangkok; #181 Top 10 Street Foods to Try in Bangkok</t>
  </si>
  <si>
    <t xml:space="preserve">Top 10 Cafes in Venice</t>
  </si>
  <si>
    <t xml:space="preserve">best cafes in venice</t>
  </si>
  <si>
    <t xml:space="preserve">Pillar: Venice hub; #55 Top 10 Gelato Shops in Venice; #64 Top 10 Places to Eat in Venice</t>
  </si>
  <si>
    <t xml:space="preserve">Top 10 Cafes in Nashville</t>
  </si>
  <si>
    <t xml:space="preserve">best cafes in nashville</t>
  </si>
  <si>
    <t xml:space="preserve">Pillar: Nashville hub; #26 Top 10 Places to Eat in Nashville; #140 Top 10 Brunch Spots in Nashville</t>
  </si>
  <si>
    <t xml:space="preserve">Top 10 Brunch Spots in Dublin</t>
  </si>
  <si>
    <t xml:space="preserve">best brunch in dublin</t>
  </si>
  <si>
    <t xml:space="preserve">Pillar: Dublin hub; #114 Top 10 Places to Eat in Dublin; #163 Top 10 Cafes in Dublin</t>
  </si>
  <si>
    <t xml:space="preserve">Top 10 Day Trips from Frankfurt</t>
  </si>
  <si>
    <t xml:space="preserve">day trips from frankfurt</t>
  </si>
  <si>
    <t xml:space="preserve">Frankfurt</t>
  </si>
  <si>
    <t xml:space="preserve">Pillar: Europe hub; #42 Top 10 Day Trips from Salzburg; #211 Top 10 Day Trips from Bruges</t>
  </si>
  <si>
    <t xml:space="preserve">Top 10 Day Trips from Lucerne</t>
  </si>
  <si>
    <t xml:space="preserve">day trips from lucerne</t>
  </si>
  <si>
    <t xml:space="preserve">Lucerne</t>
  </si>
  <si>
    <t xml:space="preserve">Pillar: Switzerland hub; #103 Top 10 Day Trips from Zurich; #182 Top 10 Day Trips from Interlaken</t>
  </si>
  <si>
    <t xml:space="preserve">Top 10 Day Trips from Las Vegas</t>
  </si>
  <si>
    <t xml:space="preserve">day trips from las vegas</t>
  </si>
  <si>
    <t xml:space="preserve">Las Vegas</t>
  </si>
  <si>
    <t xml:space="preserve">Pillar: USA hub; #139 Top 10 Day Trips from Los Angeles; #66 Top 10 Places to Eat in Hilton Head</t>
  </si>
  <si>
    <t xml:space="preserve">Top 10 Cafes in Prague</t>
  </si>
  <si>
    <t xml:space="preserve">best cafes in prague</t>
  </si>
  <si>
    <t xml:space="preserve">Pillar: Prague hub; #25 Top 10 Places to Eat in Prague; #148 Top 10 Foods to Try in Prague</t>
  </si>
  <si>
    <t xml:space="preserve">Top 10 Bars in Tokyo</t>
  </si>
  <si>
    <t xml:space="preserve">best cocktail bars in tokyo</t>
  </si>
  <si>
    <t xml:space="preserve">best bars in tokyo</t>
  </si>
  <si>
    <t xml:space="preserve">Pillar: Tokyo hub; #3 Top 10 Day Trips from Tokyo; #146 Top 10 Cafes in Tokyo</t>
  </si>
  <si>
    <t xml:space="preserve">Top 10 Day Trips from Bath</t>
  </si>
  <si>
    <t xml:space="preserve">day trips from bath</t>
  </si>
  <si>
    <t xml:space="preserve">Bath</t>
  </si>
  <si>
    <t xml:space="preserve">Pillar: England hub; #53 Top 10 Day Trips from Oxford; #67 Top 10 Day Trips from Bristol</t>
  </si>
  <si>
    <t xml:space="preserve">Top 10 Foods to Try in Rome</t>
  </si>
  <si>
    <t xml:space="preserve">what to eat in rome</t>
  </si>
  <si>
    <t xml:space="preserve">Pillar: Rome hub; #97 Top 10 Places to Eat in Rome; #101 Top 10 Cafes in Rome</t>
  </si>
  <si>
    <t xml:space="preserve">Top 10 Day Trips from Venice</t>
  </si>
  <si>
    <t xml:space="preserve">day trips from venice</t>
  </si>
  <si>
    <t xml:space="preserve">Top 10 Hidden Gems in Paris</t>
  </si>
  <si>
    <t xml:space="preserve">hidden gems in paris</t>
  </si>
  <si>
    <t xml:space="preserve">Pillar: Paris hub; #24 Top 10 Day Trips from Paris; #36 Top 10 Foods to Try in Paris</t>
  </si>
  <si>
    <t xml:space="preserve">Top 10 Bars in Edinburgh</t>
  </si>
  <si>
    <t xml:space="preserve">best bars in edinburgh</t>
  </si>
  <si>
    <t xml:space="preserve">Pillar: Edinburgh hub; #324 Top 10 Whisky Bars in Edinburgh; #337 Top 10 Pubs in Edinburgh</t>
  </si>
  <si>
    <t xml:space="preserve">Top 10 Foods to Try in Amsterdam</t>
  </si>
  <si>
    <t xml:space="preserve">what to eat in amsterdam</t>
  </si>
  <si>
    <t xml:space="preserve">Pillar: Amsterdam hub; #177 Top 10 Street Foods to Try in Amsterdam; #199 Top 10 Places to Eat in Amsterdam</t>
  </si>
  <si>
    <t xml:space="preserve">Top 10 Day Trips from York</t>
  </si>
  <si>
    <t xml:space="preserve">day trips from york</t>
  </si>
  <si>
    <t xml:space="preserve">York</t>
  </si>
  <si>
    <t xml:space="preserve">Top 10 Places to Eat in Istanbul</t>
  </si>
  <si>
    <t xml:space="preserve">best food in istanbul</t>
  </si>
  <si>
    <t xml:space="preserve">Turkey</t>
  </si>
  <si>
    <t xml:space="preserve">best places to eat in istanbul; best restaurants in istanbul</t>
  </si>
  <si>
    <t xml:space="preserve">Pillar: Istanbul hub; #256 Top 10 Kebab Spots in Istanbul; #340 Top 10 Street Foods to Try in Istanbul</t>
  </si>
  <si>
    <t xml:space="preserve">Top 10 Day Trips from New York</t>
  </si>
  <si>
    <t xml:space="preserve">day trips from nyc</t>
  </si>
  <si>
    <t xml:space="preserve">Pillar: New York hub; #69 Top 10 Bars in New York; #120 Top 10 Rooftop Bars in New York</t>
  </si>
  <si>
    <t xml:space="preserve">Top 10 Bars in Lisbon</t>
  </si>
  <si>
    <t xml:space="preserve">best bars in lisbon</t>
  </si>
  <si>
    <t xml:space="preserve">Pillar: Lisbon hub; #154 Top 10 Rooftop Bars in Lisbon; #312 Top 10 Wine Bars in Lisbon</t>
  </si>
  <si>
    <t xml:space="preserve">Top 10 Day Trips from Prague</t>
  </si>
  <si>
    <t xml:space="preserve">day trips from prague</t>
  </si>
  <si>
    <t xml:space="preserve">Top 10 Day Trips from Montreal</t>
  </si>
  <si>
    <t xml:space="preserve">day trips from montreal</t>
  </si>
  <si>
    <t xml:space="preserve">Montreal</t>
  </si>
  <si>
    <t xml:space="preserve">Pillar: Canada hub; #165 Top 10 Day Trips from Toronto; #175 Top 10 Day Trips from Vancouver</t>
  </si>
  <si>
    <t xml:space="preserve">Top 10 Bars in Malaga</t>
  </si>
  <si>
    <t xml:space="preserve">best bars in malaga</t>
  </si>
  <si>
    <t xml:space="preserve">Malaga</t>
  </si>
  <si>
    <t xml:space="preserve">Pillar: Spain hub; #21 Top 10 Day Trips from Valencia; #32 Top 10 Places to Eat in Seville</t>
  </si>
  <si>
    <t xml:space="preserve">Top 10 Day Trips from Split</t>
  </si>
  <si>
    <t xml:space="preserve">day trips from split</t>
  </si>
  <si>
    <t xml:space="preserve">Split</t>
  </si>
  <si>
    <t xml:space="preserve">Pillar: Croatia hub; #51 Top 10 Islands in Croatia; #150 Top 10 Places to Visit in Croatia</t>
  </si>
  <si>
    <t xml:space="preserve">Top 10 Places to Eat in Rome</t>
  </si>
  <si>
    <t xml:space="preserve">best food in rome</t>
  </si>
  <si>
    <t xml:space="preserve">best restaurants in rome</t>
  </si>
  <si>
    <t xml:space="preserve">best restaurants in rome (US 6600/KD70)</t>
  </si>
  <si>
    <t xml:space="preserve">Pillar: Rome hub; #84 Top 10 Foods to Try in Rome; #101 Top 10 Cafes in Rome</t>
  </si>
  <si>
    <t xml:space="preserve">Top 10 Beaches in Australia</t>
  </si>
  <si>
    <t xml:space="preserve">best beaches in australia</t>
  </si>
  <si>
    <t xml:space="preserve">Pillar: Australia hub; #130 Top 10 Day Trips from Sydney; #202 Top 10 Day Trips from Melbourne</t>
  </si>
  <si>
    <t xml:space="preserve">Top 10 Bars in Berlin</t>
  </si>
  <si>
    <t xml:space="preserve">best bars in berlin</t>
  </si>
  <si>
    <t xml:space="preserve">best cocktail bars in berlin</t>
  </si>
  <si>
    <t xml:space="preserve">Pillar: Berlin hub; #5 Top 10 Places to Eat in Berlin; #127 Top 10 Cafes in Berlin</t>
  </si>
  <si>
    <t xml:space="preserve">Top 10 Bars in Naples</t>
  </si>
  <si>
    <t xml:space="preserve">best bars in naples</t>
  </si>
  <si>
    <t xml:space="preserve">Pillar: Naples hub; #131 Top 10 Day Trips from Naples; #184 Top 10 Places to Eat in Naples</t>
  </si>
  <si>
    <t xml:space="preserve">Top 10 Cafes in Rome</t>
  </si>
  <si>
    <t xml:space="preserve">best cafes in rome</t>
  </si>
  <si>
    <t xml:space="preserve">Pillar: Rome hub; #84 Top 10 Foods to Try in Rome; #97 Top 10 Places to Eat in Rome</t>
  </si>
  <si>
    <t xml:space="preserve">Top 10 Wine Bars in Paris</t>
  </si>
  <si>
    <t xml:space="preserve">best wine bars in paris</t>
  </si>
  <si>
    <t xml:space="preserve">Wine bars</t>
  </si>
  <si>
    <t xml:space="preserve">Pillar: Paris hub; #62 Top 10 Bars in Paris; #24 Top 10 Day Trips from Paris</t>
  </si>
  <si>
    <t xml:space="preserve">Top 10 Day Trips from Zurich</t>
  </si>
  <si>
    <t xml:space="preserve">day trips from zurich</t>
  </si>
  <si>
    <t xml:space="preserve">Zurich</t>
  </si>
  <si>
    <t xml:space="preserve">Pillar: Switzerland hub; #79 Top 10 Day Trips from Lucerne; #182 Top 10 Day Trips from Interlaken</t>
  </si>
  <si>
    <t xml:space="preserve">Top 10 Hidden Gems in Europe</t>
  </si>
  <si>
    <t xml:space="preserve">hidden gems in europe</t>
  </si>
  <si>
    <t xml:space="preserve">Pillar: Europe hub; #23 Top 10 Beaches in Europe; #31 Top 10 Places to Eat in Ljubljana</t>
  </si>
  <si>
    <t xml:space="preserve">Top 10 Day Trips from Istanbul</t>
  </si>
  <si>
    <t xml:space="preserve">day trips from istanbul</t>
  </si>
  <si>
    <t xml:space="preserve">Pillar: Istanbul hub; #90 Top 10 Places to Eat in Istanbul; #178 Top 10 Bars in Istanbul</t>
  </si>
  <si>
    <t xml:space="preserve">Top 10 National Parks in the US</t>
  </si>
  <si>
    <t xml:space="preserve">best national parks in the us</t>
  </si>
  <si>
    <t xml:space="preserve">National parks</t>
  </si>
  <si>
    <t xml:space="preserve">the US</t>
  </si>
  <si>
    <t xml:space="preserve">Pillar: USA hub; #66 Top 10 Places to Eat in Hilton Head; #80 Top 10 Day Trips from Las Vegas</t>
  </si>
  <si>
    <t xml:space="preserve">Top 10 Bars in Dublin</t>
  </si>
  <si>
    <t xml:space="preserve">best bars in dublin</t>
  </si>
  <si>
    <t xml:space="preserve">best cocktail bars in dublin</t>
  </si>
  <si>
    <t xml:space="preserve">Pillar: Dublin hub; #77 Top 10 Brunch Spots in Dublin; #114 Top 10 Places to Eat in Dublin</t>
  </si>
  <si>
    <t xml:space="preserve">Top 10 Places to Eat in Seoul</t>
  </si>
  <si>
    <t xml:space="preserve">best food in seoul</t>
  </si>
  <si>
    <t xml:space="preserve">South Korea</t>
  </si>
  <si>
    <t xml:space="preserve">Pillar: Seoul hub; #306 Top 10 Foods to Try in Seoul; #210 Top 10 Bars in Seoul</t>
  </si>
  <si>
    <t xml:space="preserve">Top 10 Day Trips from Charleston</t>
  </si>
  <si>
    <t xml:space="preserve">day trips from charleston</t>
  </si>
  <si>
    <t xml:space="preserve">Pillar: Charleston hub; #216 Top 10 Places to Eat in Charleston; #319 Top 10 Brunch Spots in Charleston</t>
  </si>
  <si>
    <t xml:space="preserve">Top 10 Day Trips from Inverness</t>
  </si>
  <si>
    <t xml:space="preserve">day trips from inverness</t>
  </si>
  <si>
    <t xml:space="preserve">Inverness</t>
  </si>
  <si>
    <t xml:space="preserve">Pillar: Scotland hub; #266 Top 10 Day Trips from Aberdeen; #317 Top 10 Day Trips from Fort William</t>
  </si>
  <si>
    <t xml:space="preserve">Top 10 Day Trips from Cardiff</t>
  </si>
  <si>
    <t xml:space="preserve">day trips from cardiff</t>
  </si>
  <si>
    <t xml:space="preserve">Cardiff</t>
  </si>
  <si>
    <t xml:space="preserve">Pillar: Wales hub; #170 Top 10 Places to Eat in Cardiff; #261 Top 10 Hidden Gems in Wales</t>
  </si>
  <si>
    <t xml:space="preserve">Top 10 Bars in Honolulu</t>
  </si>
  <si>
    <t xml:space="preserve">best bars in honolulu</t>
  </si>
  <si>
    <t xml:space="preserve">Honolulu</t>
  </si>
  <si>
    <t xml:space="preserve">Pillar: USA hub; #138 Top 10 Bars in Hilton Head; #144 Top 10 Bars in Breckenridge</t>
  </si>
  <si>
    <t xml:space="preserve">Top 10 Places for Beignets in New Orleans</t>
  </si>
  <si>
    <t xml:space="preserve">best beignets in new orleans</t>
  </si>
  <si>
    <t xml:space="preserve">Dish: Beignets</t>
  </si>
  <si>
    <t xml:space="preserve">Pillar: New Orleans hub; #126 Top 10 Places to Eat in New Orleans; #160 Top 10 Foods to Try in New Orleans</t>
  </si>
  <si>
    <t xml:space="preserve">Top 10 Places to Eat in Dublin</t>
  </si>
  <si>
    <t xml:space="preserve">best food in dublin</t>
  </si>
  <si>
    <t xml:space="preserve">best restaurants in dublin</t>
  </si>
  <si>
    <t xml:space="preserve">Pillar: Dublin hub; #77 Top 10 Brunch Spots in Dublin; #163 Top 10 Cafes in Dublin</t>
  </si>
  <si>
    <t xml:space="preserve">Top 10 Places to Eat in Liverpool</t>
  </si>
  <si>
    <t xml:space="preserve">best restaurants in liverpool</t>
  </si>
  <si>
    <t xml:space="preserve">Liverpool</t>
  </si>
  <si>
    <t xml:space="preserve">Pillar: England hub; #174 Top 10 Places to Eat in Bristol; #342 Top 10 Places to Eat in Brighton</t>
  </si>
  <si>
    <t xml:space="preserve">Top 10 Day Trips from Granada</t>
  </si>
  <si>
    <t xml:space="preserve">day trips from granada</t>
  </si>
  <si>
    <t xml:space="preserve">Granada</t>
  </si>
  <si>
    <t xml:space="preserve">Top 10 Places to Eat in Bali</t>
  </si>
  <si>
    <t xml:space="preserve">best restaurants in bali</t>
  </si>
  <si>
    <t xml:space="preserve">Bali</t>
  </si>
  <si>
    <t xml:space="preserve">Indonesia</t>
  </si>
  <si>
    <t xml:space="preserve">best food in bali; best places to eat in bali</t>
  </si>
  <si>
    <t xml:space="preserve">Pillar: Asia hub; #190 Top 10 Places to Eat in Taipei; #121 Top 10 Day Trips from Taipei</t>
  </si>
  <si>
    <t xml:space="preserve">Top 10 Brunch Spots in London</t>
  </si>
  <si>
    <t xml:space="preserve">best brunch in london</t>
  </si>
  <si>
    <t xml:space="preserve">Pillar: London hub; #241 Top 10 Street Foods to Try in London; #248 Top 10 Food Markets in London</t>
  </si>
  <si>
    <t xml:space="preserve">Top 10 Beaches in Greece</t>
  </si>
  <si>
    <t xml:space="preserve">best beaches in greece</t>
  </si>
  <si>
    <t xml:space="preserve">Pillar: Greece hub; #303 Top 10 Beaches in Crete; #226 Top 10 Foods to Try in Greece</t>
  </si>
  <si>
    <t xml:space="preserve">Top 10 Rooftop Bars in New York</t>
  </si>
  <si>
    <t xml:space="preserve">best rooftop bars in new york</t>
  </si>
  <si>
    <t xml:space="preserve">Pillar: New York hub; #69 Top 10 Bars in New York; #91 Top 10 Day Trips from New York</t>
  </si>
  <si>
    <t xml:space="preserve">Top 10 Day Trips from Taipei</t>
  </si>
  <si>
    <t xml:space="preserve">day trips from taipei</t>
  </si>
  <si>
    <t xml:space="preserve">Taipei</t>
  </si>
  <si>
    <t xml:space="preserve">Taiwan</t>
  </si>
  <si>
    <t xml:space="preserve">Pillar: Asia hub; #117 Top 10 Places to Eat in Bali; #190 Top 10 Places to Eat in Taipei</t>
  </si>
  <si>
    <t xml:space="preserve">Top 10 Bars in Vancouver</t>
  </si>
  <si>
    <t xml:space="preserve">best bars in vancouver</t>
  </si>
  <si>
    <t xml:space="preserve">Vancouver</t>
  </si>
  <si>
    <t xml:space="preserve">Pillar: Canada hub; #94 Top 10 Day Trips from Montreal; #165 Top 10 Day Trips from Toronto</t>
  </si>
  <si>
    <t xml:space="preserve">Top 10 Bars in Cambridge</t>
  </si>
  <si>
    <t xml:space="preserve">best bars in cambridge uk</t>
  </si>
  <si>
    <t xml:space="preserve">Cambridge</t>
  </si>
  <si>
    <t xml:space="preserve">Pillar: England hub; #322 Top 10 Bars in Manchester; #53 Top 10 Day Trips from Oxford</t>
  </si>
  <si>
    <t xml:space="preserve">Top 10 Day Trips from Bangkok</t>
  </si>
  <si>
    <t xml:space="preserve">day trips from bangkok</t>
  </si>
  <si>
    <t xml:space="preserve">Pillar: Bangkok hub; #40 Top 10 Bars in Bangkok; #59 Top 10 Places to Eat in Bangkok</t>
  </si>
  <si>
    <t xml:space="preserve">Top 10 Ramen Shops in Osaka</t>
  </si>
  <si>
    <t xml:space="preserve">best ramen in osaka</t>
  </si>
  <si>
    <t xml:space="preserve">Dish: Ramen</t>
  </si>
  <si>
    <t xml:space="preserve">Pillar: Osaka hub; #17 Top 10 Places to Eat in Osaka; #155 Top 10 Sushi Spots in Osaka</t>
  </si>
  <si>
    <t xml:space="preserve">Top 10 Places to Eat in New Orleans</t>
  </si>
  <si>
    <t xml:space="preserve">best food in new orleans</t>
  </si>
  <si>
    <t xml:space="preserve">best restaurants in new orleans; best places to eat in new orleans</t>
  </si>
  <si>
    <t xml:space="preserve">best restaurants in new orleans (US 40500/KD66)</t>
  </si>
  <si>
    <t xml:space="preserve">Pillar: New Orleans hub; #113 Top 10 Places for Beignets in New Orleans; #160 Top 10 Foods to Try in New Orleans</t>
  </si>
  <si>
    <t xml:space="preserve">Top 10 Cafes in Berlin</t>
  </si>
  <si>
    <t xml:space="preserve">best cafes in berlin</t>
  </si>
  <si>
    <t xml:space="preserve">Pillar: Berlin hub; #5 Top 10 Places to Eat in Berlin; #99 Top 10 Bars in Berlin</t>
  </si>
  <si>
    <t xml:space="preserve">Top 10 Islands in Spain</t>
  </si>
  <si>
    <t xml:space="preserve">best islands in spain</t>
  </si>
  <si>
    <t xml:space="preserve">Pillar: Spain hub; #304 Top 10 Beaches in Mallorca; #305 Top 10 Beaches in Tenerife</t>
  </si>
  <si>
    <t xml:space="preserve">Top 10 Cocktail Bars in the World</t>
  </si>
  <si>
    <t xml:space="preserve">best cocktail bars in the world</t>
  </si>
  <si>
    <t xml:space="preserve">Cocktail bars (global)</t>
  </si>
  <si>
    <t xml:space="preserve">World</t>
  </si>
  <si>
    <t xml:space="preserve">Pillar: Global hub; </t>
  </si>
  <si>
    <t xml:space="preserve">Top 10 Day Trips from Sydney</t>
  </si>
  <si>
    <t xml:space="preserve">day trips from sydney</t>
  </si>
  <si>
    <t xml:space="preserve">Sydney</t>
  </si>
  <si>
    <t xml:space="preserve">Pillar: Australia hub; #202 Top 10 Day Trips from Melbourne; #98 Top 10 Beaches in Australia</t>
  </si>
  <si>
    <t xml:space="preserve">Top 10 Day Trips from Naples</t>
  </si>
  <si>
    <t xml:space="preserve">day trips from naples</t>
  </si>
  <si>
    <t xml:space="preserve">Pillar: Naples hub; #100 Top 10 Bars in Naples; #184 Top 10 Places to Eat in Naples</t>
  </si>
  <si>
    <t xml:space="preserve">Top 10 Day Trips from Bordeaux</t>
  </si>
  <si>
    <t xml:space="preserve">day trips from bordeaux</t>
  </si>
  <si>
    <t xml:space="preserve">Bordeaux</t>
  </si>
  <si>
    <t xml:space="preserve">Pillar: France hub; #60 Top 10 Day Trips from Nice; #265 Top 10 Hidden Gems in France</t>
  </si>
  <si>
    <t xml:space="preserve">Top 10 Day Trips from Liverpool</t>
  </si>
  <si>
    <t xml:space="preserve">day trips from liverpool</t>
  </si>
  <si>
    <t xml:space="preserve">Top 10 Day Trips from Kyoto</t>
  </si>
  <si>
    <t xml:space="preserve">day trips from kyoto</t>
  </si>
  <si>
    <t xml:space="preserve">Pillar: Kyoto hub; #12 Top 10 Places to Eat in Kyoto; #204 Top 10 Foods to Try in Kyoto</t>
  </si>
  <si>
    <t xml:space="preserve">Top 10 Cafes in Florence</t>
  </si>
  <si>
    <t xml:space="preserve">best cafes in florence</t>
  </si>
  <si>
    <t xml:space="preserve">Pillar: Florence hub; #29 Top 10 Places to Eat in Florence; #44 Top 10 Places for Pasta in Florence</t>
  </si>
  <si>
    <t xml:space="preserve">Top 10 Day Trips from Sorrento</t>
  </si>
  <si>
    <t xml:space="preserve">day trips from sorrento</t>
  </si>
  <si>
    <t xml:space="preserve">Sorrento</t>
  </si>
  <si>
    <t xml:space="preserve">Pillar: Italy hub; #30 Top 10 Day Trips from Bologna; #260 Top 10 Day Trips from Milan</t>
  </si>
  <si>
    <t xml:space="preserve">Top 10 Bars in Munich</t>
  </si>
  <si>
    <t xml:space="preserve">best bars in munich</t>
  </si>
  <si>
    <t xml:space="preserve">Pillar: Munich hub; #27 Top 10 Beer Halls &amp; Beer Gardens in Munich; #52 Top 10 Day Trips from Munich</t>
  </si>
  <si>
    <t xml:space="preserve">Top 10 Bars in Hilton Head</t>
  </si>
  <si>
    <t xml:space="preserve">best bars in hilton head sc</t>
  </si>
  <si>
    <t xml:space="preserve">Pillar: USA hub; #112 Top 10 Bars in Honolulu; #144 Top 10 Bars in Breckenridge</t>
  </si>
  <si>
    <t xml:space="preserve">Top 10 Day Trips from Los Angeles</t>
  </si>
  <si>
    <t xml:space="preserve">best day trips from los angeles</t>
  </si>
  <si>
    <t xml:space="preserve">Los Angeles</t>
  </si>
  <si>
    <t xml:space="preserve">Pillar: USA hub; #80 Top 10 Day Trips from Las Vegas; #66 Top 10 Places to Eat in Hilton Head</t>
  </si>
  <si>
    <t xml:space="preserve">Top 10 Brunch Spots in Nashville</t>
  </si>
  <si>
    <t xml:space="preserve">best brunch in nashville</t>
  </si>
  <si>
    <t xml:space="preserve">Pillar: Nashville hub; #26 Top 10 Places to Eat in Nashville; #76 Top 10 Cafes in Nashville</t>
  </si>
  <si>
    <t xml:space="preserve">Top 10 Brunch Spots in Athens</t>
  </si>
  <si>
    <t xml:space="preserve">best brunch in athens</t>
  </si>
  <si>
    <t xml:space="preserve">Pillar: Athens hub; #50 Top 10 Places to Eat in Athens; #289 Top 10 Cafes in Athens</t>
  </si>
  <si>
    <t xml:space="preserve">Top 10 Beaches in England</t>
  </si>
  <si>
    <t xml:space="preserve">best beaches in england</t>
  </si>
  <si>
    <t xml:space="preserve">Pillar: England hub; #270 Top 10 Beaches in Cornwall; #53 Top 10 Day Trips from Oxford</t>
  </si>
  <si>
    <t xml:space="preserve">Top 10 Rooftop Bars in Madrid</t>
  </si>
  <si>
    <t xml:space="preserve">best rooftop bars in madrid</t>
  </si>
  <si>
    <t xml:space="preserve">Pillar: Madrid hub; #13 Top 10 Bars in Madrid; #19 Top 10 Day Trips from Madrid</t>
  </si>
  <si>
    <t xml:space="preserve">Top 10 Bars in Breckenridge</t>
  </si>
  <si>
    <t xml:space="preserve">best bars in breckenridge</t>
  </si>
  <si>
    <t xml:space="preserve">Breckenridge</t>
  </si>
  <si>
    <t xml:space="preserve">Pillar: USA hub; #112 Top 10 Bars in Honolulu; #138 Top 10 Bars in Hilton Head</t>
  </si>
  <si>
    <t xml:space="preserve">Top 10 Villages in England</t>
  </si>
  <si>
    <t xml:space="preserve">best villages in england</t>
  </si>
  <si>
    <t xml:space="preserve">Towns &amp; villages</t>
  </si>
  <si>
    <t xml:space="preserve">Pillar: England hub; #156 Top 10 Villages in the Cotswolds; #157 Top 10 Villages in Yorkshire</t>
  </si>
  <si>
    <t xml:space="preserve">Top 10 Cafes in Tokyo</t>
  </si>
  <si>
    <t xml:space="preserve">best cafes in tokyo</t>
  </si>
  <si>
    <t xml:space="preserve">Pillar: Tokyo hub; #162 Top 10 Places to Eat in Tokyo; #195 Top 10 Street Foods to Try in Tokyo</t>
  </si>
  <si>
    <t xml:space="preserve">Top 10 Beaches in Barcelona</t>
  </si>
  <si>
    <t xml:space="preserve">best beaches in barcelona</t>
  </si>
  <si>
    <t xml:space="preserve">Pillar: Barcelona hub; #8 Top 10 Places to Eat in Barcelona; #65 Top 10 Day Trips from Barcelona</t>
  </si>
  <si>
    <t xml:space="preserve">Top 10 Foods to Try in Prague</t>
  </si>
  <si>
    <t xml:space="preserve">what to eat in prague</t>
  </si>
  <si>
    <t xml:space="preserve">Pillar: Prague hub; #25 Top 10 Places to Eat in Prague; #81 Top 10 Cafes in Prague</t>
  </si>
  <si>
    <t xml:space="preserve">Top 10 Tapas Bars in Seville</t>
  </si>
  <si>
    <t xml:space="preserve">best tapas in seville</t>
  </si>
  <si>
    <t xml:space="preserve">Dish: Tapas</t>
  </si>
  <si>
    <t xml:space="preserve">Pillar: Spain hub; #32 Top 10 Places to Eat in Seville; #34 Top 10 Pintxos Bars in San Sebastián</t>
  </si>
  <si>
    <t xml:space="preserve">Top 10 Places to Visit in Croatia</t>
  </si>
  <si>
    <t xml:space="preserve">best places to visit in croatia</t>
  </si>
  <si>
    <t xml:space="preserve">Places to visit</t>
  </si>
  <si>
    <t xml:space="preserve">Pillar: Croatia hub; #51 Top 10 Islands in Croatia; #96 Top 10 Day Trips from Split</t>
  </si>
  <si>
    <t xml:space="preserve">Top 10 Places to Eat in Myrtle Beach</t>
  </si>
  <si>
    <t xml:space="preserve">best restaurants in myrtle beach</t>
  </si>
  <si>
    <t xml:space="preserve">Myrtle Beach</t>
  </si>
  <si>
    <t xml:space="preserve">Pillar: USA hub; #66 Top 10 Places to Eat in Hilton Head; #152 Top 10 Places to Eat in Louisville</t>
  </si>
  <si>
    <t xml:space="preserve">Top 10 Places to Eat in Louisville</t>
  </si>
  <si>
    <t xml:space="preserve">best restaurants in louisville</t>
  </si>
  <si>
    <t xml:space="preserve">Louisville</t>
  </si>
  <si>
    <t xml:space="preserve">Pillar: USA hub; #66 Top 10 Places to Eat in Hilton Head; #151 Top 10 Places to Eat in Myrtle Beach</t>
  </si>
  <si>
    <t xml:space="preserve">Top 10 Day Trips from Cork</t>
  </si>
  <si>
    <t xml:space="preserve">day trips from cork</t>
  </si>
  <si>
    <t xml:space="preserve">Cork</t>
  </si>
  <si>
    <t xml:space="preserve">Pillar: Ireland hub; #38 Top 10 Beaches in Ireland</t>
  </si>
  <si>
    <t xml:space="preserve">Top 10 Rooftop Bars in Lisbon</t>
  </si>
  <si>
    <t xml:space="preserve">best rooftop bars in lisbon</t>
  </si>
  <si>
    <t xml:space="preserve">Pillar: Lisbon hub; #92 Top 10 Bars in Lisbon; #312 Top 10 Wine Bars in Lisbon</t>
  </si>
  <si>
    <t xml:space="preserve">Top 10 Sushi Spots in Osaka</t>
  </si>
  <si>
    <t xml:space="preserve">best sushi in osaka</t>
  </si>
  <si>
    <t xml:space="preserve">Dish: Sushi</t>
  </si>
  <si>
    <t xml:space="preserve">Top 10 Villages in the Cotswolds</t>
  </si>
  <si>
    <t xml:space="preserve">best villages in the cotswolds</t>
  </si>
  <si>
    <t xml:space="preserve">the Cotswolds</t>
  </si>
  <si>
    <t xml:space="preserve">Pillar: England hub; #145 Top 10 Villages in England; #157 Top 10 Villages in Yorkshire</t>
  </si>
  <si>
    <t xml:space="preserve">Top 10 Villages in Yorkshire</t>
  </si>
  <si>
    <t xml:space="preserve">best villages in yorkshire</t>
  </si>
  <si>
    <t xml:space="preserve">Yorkshire</t>
  </si>
  <si>
    <t xml:space="preserve">Pillar: England hub; #145 Top 10 Villages in England; #156 Top 10 Villages in the Cotswolds</t>
  </si>
  <si>
    <t xml:space="preserve">Top 10 Afternoon Teas in Edinburgh</t>
  </si>
  <si>
    <t xml:space="preserve">best afternoon tea in edinburgh</t>
  </si>
  <si>
    <t xml:space="preserve">Dish: Afternoon Tea</t>
  </si>
  <si>
    <t xml:space="preserve">Pillar: Edinburgh hub; #159 Top 10 Fish and Chip Shops in Edinburgh; #254 Top 10 Cafes in Edinburgh</t>
  </si>
  <si>
    <t xml:space="preserve">Top 10 Fish and Chip Shops in Edinburgh</t>
  </si>
  <si>
    <t xml:space="preserve">best fish and chips in edinburgh</t>
  </si>
  <si>
    <t xml:space="preserve">Dish: Fish And Chips</t>
  </si>
  <si>
    <t xml:space="preserve">Pillar: Edinburgh hub; #158 Top 10 Afternoon Teas in Edinburgh; #254 Top 10 Cafes in Edinburgh</t>
  </si>
  <si>
    <t xml:space="preserve">Top 10 Foods to Try in New Orleans</t>
  </si>
  <si>
    <t xml:space="preserve">what to eat in new orleans</t>
  </si>
  <si>
    <t xml:space="preserve">Pillar: New Orleans hub; #113 Top 10 Places for Beignets in New Orleans; #126 Top 10 Places to Eat in New Orleans</t>
  </si>
  <si>
    <t xml:space="preserve">Top 10 Hidden Gems in Scotland</t>
  </si>
  <si>
    <t xml:space="preserve">hidden gems in scotland</t>
  </si>
  <si>
    <t xml:space="preserve">Pillar: Scotland hub; #348 Top 10 Places to Visit in Scotland; #110 Top 10 Day Trips from Inverness</t>
  </si>
  <si>
    <t xml:space="preserve">Top 10 Places to Eat in Tokyo</t>
  </si>
  <si>
    <t xml:space="preserve">best restaurants in tokyo</t>
  </si>
  <si>
    <t xml:space="preserve">best food in tokyo; best places to eat in tokyo</t>
  </si>
  <si>
    <t xml:space="preserve">Pillar: Tokyo hub; #146 Top 10 Cafes in Tokyo; #195 Top 10 Street Foods to Try in Tokyo</t>
  </si>
  <si>
    <t xml:space="preserve">Top 10 Cafes in Dublin</t>
  </si>
  <si>
    <t xml:space="preserve">best cafes in dublin</t>
  </si>
  <si>
    <t xml:space="preserve">Top 10 Bars in Athens</t>
  </si>
  <si>
    <t xml:space="preserve">best bars in athens</t>
  </si>
  <si>
    <t xml:space="preserve">Pillar: Athens hub; #249 Top 10 Rooftop Bars in Athens; #50 Top 10 Places to Eat in Athens</t>
  </si>
  <si>
    <t xml:space="preserve">Top 10 Day Trips from Toronto</t>
  </si>
  <si>
    <t xml:space="preserve">day trips from toronto</t>
  </si>
  <si>
    <t xml:space="preserve">Toronto</t>
  </si>
  <si>
    <t xml:space="preserve">Pillar: Canada hub; #94 Top 10 Day Trips from Montreal; #175 Top 10 Day Trips from Vancouver</t>
  </si>
  <si>
    <t xml:space="preserve">Top 10 Day Trips from Cusco</t>
  </si>
  <si>
    <t xml:space="preserve">day trips from cusco</t>
  </si>
  <si>
    <t xml:space="preserve">Cusco</t>
  </si>
  <si>
    <t xml:space="preserve">Pillar: Peru hub; #236 Top 10 Places to Eat in Lima</t>
  </si>
  <si>
    <t xml:space="preserve">Top 10 Bars in Amsterdam</t>
  </si>
  <si>
    <t xml:space="preserve">best cocktail bars in amsterdam</t>
  </si>
  <si>
    <t xml:space="preserve">Pillar: Amsterdam hub; #15 Top 10 Day Trips from Amsterdam; #88 Top 10 Foods to Try in Amsterdam</t>
  </si>
  <si>
    <t xml:space="preserve">Top 10 Foods to Try in Venice</t>
  </si>
  <si>
    <t xml:space="preserve">what to eat in venice</t>
  </si>
  <si>
    <t xml:space="preserve">Top 10 Hidden Gems in New Orleans</t>
  </si>
  <si>
    <t xml:space="preserve">hidden gems in new orleans</t>
  </si>
  <si>
    <t xml:space="preserve">Top 10 Places to Eat in Cardiff</t>
  </si>
  <si>
    <t xml:space="preserve">best restaurants in cardiff</t>
  </si>
  <si>
    <t xml:space="preserve">Pillar: Wales hub; #111 Top 10 Day Trips from Cardiff; #261 Top 10 Hidden Gems in Wales</t>
  </si>
  <si>
    <t xml:space="preserve">Top 10 Places for Pastel de Nata in Lisbon</t>
  </si>
  <si>
    <t xml:space="preserve">best pastel de nata in lisbon</t>
  </si>
  <si>
    <t xml:space="preserve">Dish: Pastel De Nata</t>
  </si>
  <si>
    <t xml:space="preserve">Pillar: Lisbon hub; #6 Top 10 Places to Eat in Lisbon; #185 Top 10 Cafes in Lisbon</t>
  </si>
  <si>
    <t xml:space="preserve">Top 10 Towns in Scotland</t>
  </si>
  <si>
    <t xml:space="preserve">best towns in scotland</t>
  </si>
  <si>
    <t xml:space="preserve">best villages in scotland</t>
  </si>
  <si>
    <t xml:space="preserve">Pillar: Scotland hub; #110 Top 10 Day Trips from Inverness; #161 Top 10 Hidden Gems in Scotland</t>
  </si>
  <si>
    <t xml:space="preserve">Top 10 Day Trips from Cancun</t>
  </si>
  <si>
    <t xml:space="preserve">day trips from cancun</t>
  </si>
  <si>
    <t xml:space="preserve">Cancun</t>
  </si>
  <si>
    <t xml:space="preserve">Pillar: Mexico hub; #247 Top 10 Street Foods to Try in Mexico City; #290 Top 10 Rooftop Bars in Mexico City</t>
  </si>
  <si>
    <t xml:space="preserve">Top 10 Places to Eat in Bristol</t>
  </si>
  <si>
    <t xml:space="preserve">best restaurants in bristol</t>
  </si>
  <si>
    <t xml:space="preserve">Pillar: England hub; #115 Top 10 Places to Eat in Liverpool; #342 Top 10 Places to Eat in Brighton</t>
  </si>
  <si>
    <t xml:space="preserve">Top 10 Day Trips from Vancouver</t>
  </si>
  <si>
    <t xml:space="preserve">day trips from vancouver</t>
  </si>
  <si>
    <t xml:space="preserve">Top 10 Places to Eat in Ho Chi Minh City</t>
  </si>
  <si>
    <t xml:space="preserve">best restaurants in ho chi minh city</t>
  </si>
  <si>
    <t xml:space="preserve">best places to eat in ho chi minh city; best food in ho chi minh city</t>
  </si>
  <si>
    <t xml:space="preserve">Pillar: Ho Chi Minh City hub; #222 Top 10 Pho Spots in Ho Chi Minh City; #187 Top 10 Day Trips from Ho Chi Minh City</t>
  </si>
  <si>
    <t xml:space="preserve">Top 10 Street Foods to Try in Amsterdam</t>
  </si>
  <si>
    <t xml:space="preserve">best street food in amsterdam</t>
  </si>
  <si>
    <t xml:space="preserve">Street food</t>
  </si>
  <si>
    <t xml:space="preserve">Pillar: Amsterdam hub; #88 Top 10 Foods to Try in Amsterdam; #199 Top 10 Places to Eat in Amsterdam</t>
  </si>
  <si>
    <t xml:space="preserve">Top 10 Bars in Istanbul</t>
  </si>
  <si>
    <t xml:space="preserve">best bars in istanbul</t>
  </si>
  <si>
    <t xml:space="preserve">Pillar: Istanbul hub; #90 Top 10 Places to Eat in Istanbul; #105 Top 10 Day Trips from Istanbul</t>
  </si>
  <si>
    <t xml:space="preserve">Top 10 Bars in Budapest</t>
  </si>
  <si>
    <t xml:space="preserve">best bars in budapest</t>
  </si>
  <si>
    <t xml:space="preserve">Pillar: Budapest hub; #16 Top 10 Places to Eat in Budapest; #54 Top 10 Cafes in Budapest</t>
  </si>
  <si>
    <t xml:space="preserve">Top 10 Day Trips from Savannah</t>
  </si>
  <si>
    <t xml:space="preserve">day trips from savannah</t>
  </si>
  <si>
    <t xml:space="preserve">Pillar: Savannah hub; #45 Top 10 Places to Eat in Savannah; #338 Top 10 Rooftop Bars in Savannah</t>
  </si>
  <si>
    <t xml:space="preserve">Top 10 Street Foods to Try in Bangkok</t>
  </si>
  <si>
    <t xml:space="preserve">best street food in bangkok</t>
  </si>
  <si>
    <t xml:space="preserve">Top 10 Day Trips from Interlaken</t>
  </si>
  <si>
    <t xml:space="preserve">day trips from interlaken</t>
  </si>
  <si>
    <t xml:space="preserve">Interlaken</t>
  </si>
  <si>
    <t xml:space="preserve">Pillar: Switzerland hub; #79 Top 10 Day Trips from Lucerne; #103 Top 10 Day Trips from Zurich</t>
  </si>
  <si>
    <t xml:space="preserve">Top 10 Places to Eat in Dubai</t>
  </si>
  <si>
    <t xml:space="preserve">best restaurants in dubai</t>
  </si>
  <si>
    <t xml:space="preserve">Dubai</t>
  </si>
  <si>
    <t xml:space="preserve">UAE</t>
  </si>
  <si>
    <t xml:space="preserve">Pillar: Africa &amp; Middle East hub; #215 Top 10 Day Trips from Cairo; #262 Top 10 Day Trips from Cape Town</t>
  </si>
  <si>
    <t xml:space="preserve">Top 10 Places to Eat in Naples</t>
  </si>
  <si>
    <t xml:space="preserve">best food in naples</t>
  </si>
  <si>
    <t xml:space="preserve">best restaurants in naples (US 4400/KD68)</t>
  </si>
  <si>
    <t xml:space="preserve">Pillar: Naples hub; #100 Top 10 Bars in Naples; #131 Top 10 Day Trips from Naples</t>
  </si>
  <si>
    <t xml:space="preserve">Top 10 Cafes in Lisbon</t>
  </si>
  <si>
    <t xml:space="preserve">best cafes in lisbon</t>
  </si>
  <si>
    <t xml:space="preserve">Pillar: Lisbon hub; #6 Top 10 Places to Eat in Lisbon; #171 Top 10 Places for Pastel de Nata in Lisbon</t>
  </si>
  <si>
    <t xml:space="preserve">Top 10 Bars in Nashville</t>
  </si>
  <si>
    <t xml:space="preserve">best bars in nashville</t>
  </si>
  <si>
    <t xml:space="preserve">best bars in nashville (US 2900/KD59)</t>
  </si>
  <si>
    <t xml:space="preserve">Top 10 Day Trips from Ho Chi Minh City</t>
  </si>
  <si>
    <t xml:space="preserve">day trips from ho chi minh city</t>
  </si>
  <si>
    <t xml:space="preserve">Pillar: Ho Chi Minh City hub; #176 Top 10 Places to Eat in Ho Chi Minh City; #222 Top 10 Pho Spots in Ho Chi Minh City</t>
  </si>
  <si>
    <t xml:space="preserve">Top 10 Places to Eat in Paris</t>
  </si>
  <si>
    <t xml:space="preserve">best food in paris</t>
  </si>
  <si>
    <t xml:space="preserve">best restaurants in paris; best places to eat in paris; where to eat in paris</t>
  </si>
  <si>
    <t xml:space="preserve">best restaurants in paris (US 10800/KD82)</t>
  </si>
  <si>
    <t xml:space="preserve">Top 10 Rooftop Bars in Barcelona</t>
  </si>
  <si>
    <t xml:space="preserve">best rooftop bars in barcelona</t>
  </si>
  <si>
    <t xml:space="preserve">Pillar: Barcelona hub; #192 Top 10 Bars in Barcelona; #8 Top 10 Places to Eat in Barcelona</t>
  </si>
  <si>
    <t xml:space="preserve">Top 10 Places to Eat in Taipei</t>
  </si>
  <si>
    <t xml:space="preserve">best food in taipei</t>
  </si>
  <si>
    <t xml:space="preserve">Pillar: Asia hub; #117 Top 10 Places to Eat in Bali; #121 Top 10 Day Trips from Taipei</t>
  </si>
  <si>
    <t xml:space="preserve">Top 10 Foods to Try in Lisbon</t>
  </si>
  <si>
    <t xml:space="preserve">what to eat in lisbon</t>
  </si>
  <si>
    <t xml:space="preserve">Top 10 Bars in Barcelona</t>
  </si>
  <si>
    <t xml:space="preserve">best cocktail bars in barcelona</t>
  </si>
  <si>
    <t xml:space="preserve">Pillar: Barcelona hub; #189 Top 10 Rooftop Bars in Barcelona; #8 Top 10 Places to Eat in Barcelona</t>
  </si>
  <si>
    <t xml:space="preserve">Top 10 Cafes in Barcelona</t>
  </si>
  <si>
    <t xml:space="preserve">best cafes in barcelona</t>
  </si>
  <si>
    <t xml:space="preserve">Top 10 Places to Eat in Dubrovnik</t>
  </si>
  <si>
    <t xml:space="preserve">best food in dubrovnik</t>
  </si>
  <si>
    <t xml:space="preserve">best places to eat in dubrovnik</t>
  </si>
  <si>
    <t xml:space="preserve">Pillar: Dubrovnik hub; #48 Top 10 Beaches in Dubrovnik; #318 Top 10 Bars in Dubrovnik</t>
  </si>
  <si>
    <t xml:space="preserve">Top 10 Street Foods to Try in Tokyo</t>
  </si>
  <si>
    <t xml:space="preserve">best street food in tokyo</t>
  </si>
  <si>
    <t xml:space="preserve">Pillar: Tokyo hub; #146 Top 10 Cafes in Tokyo; #162 Top 10 Places to Eat in Tokyo</t>
  </si>
  <si>
    <t xml:space="preserve">Top 10 Places to Eat in St. Augustine</t>
  </si>
  <si>
    <t xml:space="preserve">best restaurants in st augustine</t>
  </si>
  <si>
    <t xml:space="preserve">St. Augustine</t>
  </si>
  <si>
    <t xml:space="preserve">Top 10 Beaches in Malaysia</t>
  </si>
  <si>
    <t xml:space="preserve">best beaches in malaysia</t>
  </si>
  <si>
    <t xml:space="preserve">Malaysia</t>
  </si>
  <si>
    <t xml:space="preserve">Pillar: Asia hub; #217 Top 10 Beaches in Sri Lanka; #218 Top 10 Beaches in Indonesia</t>
  </si>
  <si>
    <t xml:space="preserve">Top 10 Bars in San Francisco</t>
  </si>
  <si>
    <t xml:space="preserve">best bars in san francisco</t>
  </si>
  <si>
    <t xml:space="preserve">best cocktail bars in san francisco</t>
  </si>
  <si>
    <t xml:space="preserve">Pillar: San Francisco hub; #277 Top 10 Things to Do in San Francisco; #279 Top 10 Brunch Spots in San Francisco</t>
  </si>
  <si>
    <t xml:space="preserve">Top 10 Places to Eat in Amsterdam</t>
  </si>
  <si>
    <t xml:space="preserve">best restaurants in amsterdam</t>
  </si>
  <si>
    <t xml:space="preserve">best places to eat in amsterdam</t>
  </si>
  <si>
    <t xml:space="preserve">Pillar: Amsterdam hub; #88 Top 10 Foods to Try in Amsterdam; #177 Top 10 Street Foods to Try in Amsterdam</t>
  </si>
  <si>
    <t xml:space="preserve">Top 10 Islands in Europe</t>
  </si>
  <si>
    <t xml:space="preserve">best islands in europe</t>
  </si>
  <si>
    <t xml:space="preserve">Pillar: Europe hub; #23 Top 10 Beaches in Europe; #223 Top 10 Beaches in Cyprus</t>
  </si>
  <si>
    <t xml:space="preserve">Top 10 Places for Pad Thai in Bangkok</t>
  </si>
  <si>
    <t xml:space="preserve">best pad thai in bangkok</t>
  </si>
  <si>
    <t xml:space="preserve">Dish: Pad Thai</t>
  </si>
  <si>
    <t xml:space="preserve">Top 10 Day Trips from Melbourne</t>
  </si>
  <si>
    <t xml:space="preserve">day trips from melbourne</t>
  </si>
  <si>
    <t xml:space="preserve">Melbourne</t>
  </si>
  <si>
    <t xml:space="preserve">Pillar: Australia hub; #130 Top 10 Day Trips from Sydney; #98 Top 10 Beaches in Australia</t>
  </si>
  <si>
    <t xml:space="preserve">Top 10 Places to Eat in Santa Fe</t>
  </si>
  <si>
    <t xml:space="preserve">best restaurants in santa fe</t>
  </si>
  <si>
    <t xml:space="preserve">Santa Fe</t>
  </si>
  <si>
    <t xml:space="preserve">Top 10 Foods to Try in Kyoto</t>
  </si>
  <si>
    <t xml:space="preserve">what to eat in kyoto</t>
  </si>
  <si>
    <t xml:space="preserve">Pillar: Kyoto hub; #12 Top 10 Places to Eat in Kyoto; #134 Top 10 Day Trips from Kyoto</t>
  </si>
  <si>
    <t xml:space="preserve">Top 10 Foods to Try in Italy</t>
  </si>
  <si>
    <t xml:space="preserve">what to eat in italy</t>
  </si>
  <si>
    <t xml:space="preserve">Pillar: Italy hub; #250 Top 10 Places to Eat in Bologna; #30 Top 10 Day Trips from Bologna</t>
  </si>
  <si>
    <t xml:space="preserve">Top 10 Places to Eat in Key West</t>
  </si>
  <si>
    <t xml:space="preserve">best restaurants in key west</t>
  </si>
  <si>
    <t xml:space="preserve">Key West</t>
  </si>
  <si>
    <t xml:space="preserve">Top 10 Small Towns in Italy</t>
  </si>
  <si>
    <t xml:space="preserve">best small towns in italy</t>
  </si>
  <si>
    <t xml:space="preserve">Pillar: Italy hub; #30 Top 10 Day Trips from Bologna; #57 Top 10 Hidden Gems in Italy</t>
  </si>
  <si>
    <t xml:space="preserve">Top 10 Cafes in Singapore</t>
  </si>
  <si>
    <t xml:space="preserve">best cafes in singapore</t>
  </si>
  <si>
    <t xml:space="preserve">Pillar: Singapore hub; #37 Top 10 Places to Eat in Singapore; #264 Top 10 Street Foods to Try in Singapore</t>
  </si>
  <si>
    <t xml:space="preserve">Top 10 National Parks in Europe</t>
  </si>
  <si>
    <t xml:space="preserve">best national parks in europe</t>
  </si>
  <si>
    <t xml:space="preserve">Top 10 Bars in Seoul</t>
  </si>
  <si>
    <t xml:space="preserve">best bars in seoul</t>
  </si>
  <si>
    <t xml:space="preserve">Pillar: Seoul hub; #108 Top 10 Places to Eat in Seoul; #306 Top 10 Foods to Try in Seoul</t>
  </si>
  <si>
    <t xml:space="preserve">Top 10 Day Trips from Bruges</t>
  </si>
  <si>
    <t xml:space="preserve">day trips from bruges</t>
  </si>
  <si>
    <t xml:space="preserve">Bruges</t>
  </si>
  <si>
    <t xml:space="preserve">Belgium</t>
  </si>
  <si>
    <t xml:space="preserve">Pillar: Europe hub; #42 Top 10 Day Trips from Salzburg; #78 Top 10 Day Trips from Frankfurt</t>
  </si>
  <si>
    <t xml:space="preserve">Top 10 Bars in Osaka</t>
  </si>
  <si>
    <t xml:space="preserve">best bars in osaka</t>
  </si>
  <si>
    <t xml:space="preserve">Pillar: Osaka hub; #9 Top 10 Day Trips from Osaka; #17 Top 10 Places to Eat in Osaka</t>
  </si>
  <si>
    <t xml:space="preserve">Top 10 Beaches in Croatia</t>
  </si>
  <si>
    <t xml:space="preserve">best beaches in croatia</t>
  </si>
  <si>
    <t xml:space="preserve">Top 10 Day Trips from Hong Kong</t>
  </si>
  <si>
    <t xml:space="preserve">day trips from hong kong</t>
  </si>
  <si>
    <t xml:space="preserve">Pillar: Hong Kong hub; #219 Top 10 Bars in Hong Kong; #245 Top 10 Places to Eat in Hong Kong</t>
  </si>
  <si>
    <t xml:space="preserve">Top 10 Day Trips from Cairo</t>
  </si>
  <si>
    <t xml:space="preserve">day trips from cairo</t>
  </si>
  <si>
    <t xml:space="preserve">Cairo</t>
  </si>
  <si>
    <t xml:space="preserve">Egypt</t>
  </si>
  <si>
    <t xml:space="preserve">Pillar: Africa &amp; Middle East hub; #262 Top 10 Day Trips from Cape Town; #183 Top 10 Places to Eat in Dubai</t>
  </si>
  <si>
    <t xml:space="preserve">Top 10 Places to Eat in Charleston</t>
  </si>
  <si>
    <t xml:space="preserve">best places to eat in charleston</t>
  </si>
  <si>
    <t xml:space="preserve">best restaurants in charleston; best food in charleston</t>
  </si>
  <si>
    <t xml:space="preserve">best restaurants in charleston (US 33100/KD76)</t>
  </si>
  <si>
    <t xml:space="preserve">Pillar: Charleston hub; #319 Top 10 Brunch Spots in Charleston; #343 Top 10 Seafood Restaurants in Charleston</t>
  </si>
  <si>
    <t xml:space="preserve">Top 10 Beaches in Sri Lanka</t>
  </si>
  <si>
    <t xml:space="preserve">best beaches in sri lanka</t>
  </si>
  <si>
    <t xml:space="preserve">Sri Lanka</t>
  </si>
  <si>
    <t xml:space="preserve">Pillar: Asia hub; #197 Top 10 Beaches in Malaysia; #218 Top 10 Beaches in Indonesia</t>
  </si>
  <si>
    <t xml:space="preserve">Top 10 Beaches in Indonesia</t>
  </si>
  <si>
    <t xml:space="preserve">best beaches in indonesia</t>
  </si>
  <si>
    <t xml:space="preserve">Pillar: Asia hub; #197 Top 10 Beaches in Malaysia; #217 Top 10 Beaches in Sri Lanka</t>
  </si>
  <si>
    <t xml:space="preserve">Top 10 Bars in Hong Kong</t>
  </si>
  <si>
    <t xml:space="preserve">best bars in hong kong</t>
  </si>
  <si>
    <t xml:space="preserve">Pillar: Hong Kong hub; #214 Top 10 Day Trips from Hong Kong; #245 Top 10 Places to Eat in Hong Kong</t>
  </si>
  <si>
    <t xml:space="preserve">Top 10 Cafes in Hanoi</t>
  </si>
  <si>
    <t xml:space="preserve">best cafes in hanoi</t>
  </si>
  <si>
    <t xml:space="preserve">Pillar: Hanoi hub; #43 Top 10 Places to Eat in Hanoi; #233 Top 10 Pho Spots in Hanoi</t>
  </si>
  <si>
    <t xml:space="preserve">Top 10 Brunch Spots in Madrid</t>
  </si>
  <si>
    <t xml:space="preserve">best brunch in madrid</t>
  </si>
  <si>
    <t xml:space="preserve">Pillar: Madrid hub; #20 Top 10 Places to Eat in Madrid; #311 Top 10 Cafes in Madrid</t>
  </si>
  <si>
    <t xml:space="preserve">Top 10 Pho Spots in Ho Chi Minh City</t>
  </si>
  <si>
    <t xml:space="preserve">best pho in ho chi minh city</t>
  </si>
  <si>
    <t xml:space="preserve">Dish: Pho</t>
  </si>
  <si>
    <t xml:space="preserve">Pillar: Ho Chi Minh City hub; #176 Top 10 Places to Eat in Ho Chi Minh City; #187 Top 10 Day Trips from Ho Chi Minh City</t>
  </si>
  <si>
    <t xml:space="preserve">Top 10 Beaches in Cyprus</t>
  </si>
  <si>
    <t xml:space="preserve">best beaches in cyprus</t>
  </si>
  <si>
    <t xml:space="preserve">Cyprus</t>
  </si>
  <si>
    <t xml:space="preserve">Pillar: Europe hub; #23 Top 10 Beaches in Europe; #200 Top 10 Islands in Europe</t>
  </si>
  <si>
    <t xml:space="preserve">Top 10 Pubs in Glasgow</t>
  </si>
  <si>
    <t xml:space="preserve">best pubs in glasgow</t>
  </si>
  <si>
    <t xml:space="preserve">Pillar: Glasgow hub; #282 Top 10 Bars in Glasgow; #39 Top 10 Day Trips from Glasgow</t>
  </si>
  <si>
    <t xml:space="preserve">Top 10 Beaches in Turkey</t>
  </si>
  <si>
    <t xml:space="preserve">best beaches in turkey</t>
  </si>
  <si>
    <t xml:space="preserve">Top 10 Foods to Try in Greece</t>
  </si>
  <si>
    <t xml:space="preserve">what to eat in greece</t>
  </si>
  <si>
    <t xml:space="preserve">Pillar: Greece hub; #119 Top 10 Beaches in Greece; #303 Top 10 Beaches in Crete</t>
  </si>
  <si>
    <t xml:space="preserve">Top 10 Day Trips from Belfast</t>
  </si>
  <si>
    <t xml:space="preserve">day trips from belfast</t>
  </si>
  <si>
    <t xml:space="preserve">Belfast</t>
  </si>
  <si>
    <t xml:space="preserve">Northern Ireland</t>
  </si>
  <si>
    <t xml:space="preserve">Pillar: UK hub; #41 Top 10 Christmas Markets in the UK; #251 Top 10 Places to Eat in Belfast</t>
  </si>
  <si>
    <t xml:space="preserve">Top 10 Brunch Spots in Miami</t>
  </si>
  <si>
    <t xml:space="preserve">best brunch in miami</t>
  </si>
  <si>
    <t xml:space="preserve">Pillar: Miami hub; #310 Top 10 Places to Eat in Miami; #333 Top 10 Beaches in Miami</t>
  </si>
  <si>
    <t xml:space="preserve">Top 10 Cafes in New York</t>
  </si>
  <si>
    <t xml:space="preserve">best cafes in new york</t>
  </si>
  <si>
    <t xml:space="preserve">Pillar: New York hub; #237 Top 10 Brunch Spots in New York; #308 Top 10 Places to Eat in New York</t>
  </si>
  <si>
    <t xml:space="preserve">Top 10 Brunch Spots in Lisbon</t>
  </si>
  <si>
    <t xml:space="preserve">best brunch in lisbon</t>
  </si>
  <si>
    <t xml:space="preserve">Top 10 Hidden Gems in Spain</t>
  </si>
  <si>
    <t xml:space="preserve">hidden gems in spain</t>
  </si>
  <si>
    <t xml:space="preserve">Top 10 Rooftop Bars in Florence</t>
  </si>
  <si>
    <t xml:space="preserve">best rooftop bars in florence</t>
  </si>
  <si>
    <t xml:space="preserve">Pillar: Florence hub; #35 Top 10 Bars in Florence; #29 Top 10 Places to Eat in Florence</t>
  </si>
  <si>
    <t xml:space="preserve">Top 10 Pho Spots in Hanoi</t>
  </si>
  <si>
    <t xml:space="preserve">best pho in hanoi</t>
  </si>
  <si>
    <t xml:space="preserve">Pillar: Hanoi hub; #43 Top 10 Places to Eat in Hanoi; #220 Top 10 Cafes in Hanoi</t>
  </si>
  <si>
    <t xml:space="preserve">Top 10 Cafes in Melbourne</t>
  </si>
  <si>
    <t xml:space="preserve">best cafes in melbourne</t>
  </si>
  <si>
    <t xml:space="preserve">Pillar: Australia hub; #98 Top 10 Beaches in Australia; #130 Top 10 Day Trips from Sydney</t>
  </si>
  <si>
    <t xml:space="preserve">Top 10 Villages in Cornwall</t>
  </si>
  <si>
    <t xml:space="preserve">best villages in cornwall</t>
  </si>
  <si>
    <t xml:space="preserve">Cornwall</t>
  </si>
  <si>
    <t xml:space="preserve">Top 10 Places to Eat in Lima</t>
  </si>
  <si>
    <t xml:space="preserve">best restaurants in lima</t>
  </si>
  <si>
    <t xml:space="preserve">Lima</t>
  </si>
  <si>
    <t xml:space="preserve">Pillar: Peru hub; #166 Top 10 Day Trips from Cusco</t>
  </si>
  <si>
    <t xml:space="preserve">Interlink with existing Peru post</t>
  </si>
  <si>
    <t xml:space="preserve">Top 10 Brunch Spots in New York</t>
  </si>
  <si>
    <t xml:space="preserve">best brunch in new york</t>
  </si>
  <si>
    <t xml:space="preserve">Pillar: New York hub; #229 Top 10 Cafes in New York; #308 Top 10 Places to Eat in New York</t>
  </si>
  <si>
    <t xml:space="preserve">Top 10 Foods to Try in Tokyo</t>
  </si>
  <si>
    <t xml:space="preserve">what to eat in tokyo</t>
  </si>
  <si>
    <t xml:space="preserve">Top 10 Brunch Spots in New Orleans</t>
  </si>
  <si>
    <t xml:space="preserve">best brunch in new orleans</t>
  </si>
  <si>
    <t xml:space="preserve">Top 10 Islands in Italy</t>
  </si>
  <si>
    <t xml:space="preserve">best islands in italy</t>
  </si>
  <si>
    <t xml:space="preserve">Pillar: Italy hub; #285 Top 10 Beaches in Italy; #326 Top 10 Beaches in Sardinia</t>
  </si>
  <si>
    <t xml:space="preserve">Top 10 Street Foods to Try in London</t>
  </si>
  <si>
    <t xml:space="preserve">best street food in london</t>
  </si>
  <si>
    <t xml:space="preserve">Pillar: London hub; #118 Top 10 Brunch Spots in London; #248 Top 10 Food Markets in London</t>
  </si>
  <si>
    <t xml:space="preserve">Top 10 Foods to Try in Portugal</t>
  </si>
  <si>
    <t xml:space="preserve">what to eat in portugal</t>
  </si>
  <si>
    <t xml:space="preserve">Pillar: Portugal hub; #291 Top 10 Beaches in Portugal</t>
  </si>
  <si>
    <t xml:space="preserve">Check vs existing Portugal post; keep only if that post isn't beach-led</t>
  </si>
  <si>
    <t xml:space="preserve">Top 10 Day Trips from Singapore</t>
  </si>
  <si>
    <t xml:space="preserve">day trips from singapore</t>
  </si>
  <si>
    <t xml:space="preserve">Pillar: Singapore hub; #22 Top 10 Bars in Singapore; #37 Top 10 Places to Eat in Singapore</t>
  </si>
  <si>
    <t xml:space="preserve">Top 10 Day Trips from Chicago</t>
  </si>
  <si>
    <t xml:space="preserve">day trips from chicago</t>
  </si>
  <si>
    <t xml:space="preserve">Pillar: Chicago hub; #70 Top 10 Brunch Spots in Chicago; #274 Top 10 Street Foods to Try in Chicago</t>
  </si>
  <si>
    <t xml:space="preserve">Top 10 Places to Eat in Hong Kong</t>
  </si>
  <si>
    <t xml:space="preserve">best food in hong kong</t>
  </si>
  <si>
    <t xml:space="preserve">Pillar: Hong Kong hub; #284 Top 10 Foods to Try in Hong Kong; #214 Top 10 Day Trips from Hong Kong</t>
  </si>
  <si>
    <t xml:space="preserve">Top 10 Brunch Spots in Amsterdam</t>
  </si>
  <si>
    <t xml:space="preserve">best brunch in amsterdam</t>
  </si>
  <si>
    <t xml:space="preserve">Top 10 Street Foods to Try in Mexico City</t>
  </si>
  <si>
    <t xml:space="preserve">best street food in mexico city</t>
  </si>
  <si>
    <t xml:space="preserve">Mexico City</t>
  </si>
  <si>
    <t xml:space="preserve">Pillar: Mexico hub; #339 Top 10 Foods to Try in Mexico; #173 Top 10 Day Trips from Cancun</t>
  </si>
  <si>
    <t xml:space="preserve">Top 10 Food Markets in London</t>
  </si>
  <si>
    <t xml:space="preserve">best food markets in london</t>
  </si>
  <si>
    <t xml:space="preserve">Food markets</t>
  </si>
  <si>
    <t xml:space="preserve">Pillar: London hub; #118 Top 10 Brunch Spots in London; #241 Top 10 Street Foods to Try in London</t>
  </si>
  <si>
    <t xml:space="preserve">Top 10 Rooftop Bars in Athens</t>
  </si>
  <si>
    <t xml:space="preserve">best rooftop bars in athens</t>
  </si>
  <si>
    <t xml:space="preserve">Pillar: Athens hub; #164 Top 10 Bars in Athens; #50 Top 10 Places to Eat in Athens</t>
  </si>
  <si>
    <t xml:space="preserve">Top 10 Places to Eat in Bologna</t>
  </si>
  <si>
    <t xml:space="preserve">best food in bologna</t>
  </si>
  <si>
    <t xml:space="preserve">Pillar: Italy hub; #205 Top 10 Foods to Try in Italy; #30 Top 10 Day Trips from Bologna</t>
  </si>
  <si>
    <t xml:space="preserve">Top 10 Places to Eat in Belfast</t>
  </si>
  <si>
    <t xml:space="preserve">best restaurants in belfast</t>
  </si>
  <si>
    <t xml:space="preserve">Pillar: UK hub; #41 Top 10 Christmas Markets in the UK; #227 Top 10 Day Trips from Belfast</t>
  </si>
  <si>
    <t xml:space="preserve">Top 10 Bars in Hanoi</t>
  </si>
  <si>
    <t xml:space="preserve">best bars in hanoi</t>
  </si>
  <si>
    <t xml:space="preserve">Top 10 Bars in Austin</t>
  </si>
  <si>
    <t xml:space="preserve">best bars in austin</t>
  </si>
  <si>
    <t xml:space="preserve">Pillar: Austin hub; #299 Top 10 Day Trips from Austin; #313 Top 10 Places to Eat in Austin</t>
  </si>
  <si>
    <t xml:space="preserve">Top 10 Cafes in Edinburgh</t>
  </si>
  <si>
    <t xml:space="preserve">best cafes in edinburgh</t>
  </si>
  <si>
    <t xml:space="preserve">Pillar: Edinburgh hub; #158 Top 10 Afternoon Teas in Edinburgh; #159 Top 10 Fish and Chip Shops in Edinburgh</t>
  </si>
  <si>
    <t xml:space="preserve">Top 10 Beaches in Scotland</t>
  </si>
  <si>
    <t xml:space="preserve">best beaches in scotland</t>
  </si>
  <si>
    <t xml:space="preserve">Pillar: Scotland hub; #258 Top 10 Islands in Scotland; #110 Top 10 Day Trips from Inverness</t>
  </si>
  <si>
    <t xml:space="preserve">Top 10 Kebab Spots in Istanbul</t>
  </si>
  <si>
    <t xml:space="preserve">best kebab in istanbul</t>
  </si>
  <si>
    <t xml:space="preserve">Dish: Kebab</t>
  </si>
  <si>
    <t xml:space="preserve">Pillar: Istanbul hub; #90 Top 10 Places to Eat in Istanbul; #340 Top 10 Street Foods to Try in Istanbul</t>
  </si>
  <si>
    <t xml:space="preserve">Top 10 Foods to Try in Vienna</t>
  </si>
  <si>
    <t xml:space="preserve">what to eat in vienna</t>
  </si>
  <si>
    <t xml:space="preserve">Pillar: Vienna hub; #46 Top 10 Places to Eat in Vienna; #63 Top 10 Bars in Vienna</t>
  </si>
  <si>
    <t xml:space="preserve">Top 10 Islands in Scotland</t>
  </si>
  <si>
    <t xml:space="preserve">best islands in scotland</t>
  </si>
  <si>
    <t xml:space="preserve">Pillar: Scotland hub; #255 Top 10 Beaches in Scotland; #110 Top 10 Day Trips from Inverness</t>
  </si>
  <si>
    <t xml:space="preserve">Top 10 Places to Eat in Krakow</t>
  </si>
  <si>
    <t xml:space="preserve">best food in krakow</t>
  </si>
  <si>
    <t xml:space="preserve">Pillar: Krakow hub; #28 Top 10 Day Trips from Krakow; #273 Top 10 Bars in Krakow</t>
  </si>
  <si>
    <t xml:space="preserve">Top 10 Day Trips from Milan</t>
  </si>
  <si>
    <t xml:space="preserve">day trips from milan</t>
  </si>
  <si>
    <t xml:space="preserve">Milan</t>
  </si>
  <si>
    <t xml:space="preserve">Top 10 Hidden Gems in Wales</t>
  </si>
  <si>
    <t xml:space="preserve">hidden gems in wales</t>
  </si>
  <si>
    <t xml:space="preserve">Pillar: Wales hub; #111 Top 10 Day Trips from Cardiff; #170 Top 10 Places to Eat in Cardiff</t>
  </si>
  <si>
    <t xml:space="preserve">Top 10 Day Trips from Cape Town</t>
  </si>
  <si>
    <t xml:space="preserve">day trips from cape town</t>
  </si>
  <si>
    <t xml:space="preserve">Cape Town</t>
  </si>
  <si>
    <t xml:space="preserve">South Africa</t>
  </si>
  <si>
    <t xml:space="preserve">Pillar: Africa &amp; Middle East hub; #215 Top 10 Day Trips from Cairo; #183 Top 10 Places to Eat in Dubai</t>
  </si>
  <si>
    <t xml:space="preserve">Top 10 Foods to Try in Spain</t>
  </si>
  <si>
    <t xml:space="preserve">what to eat in spain</t>
  </si>
  <si>
    <t xml:space="preserve">Top 10 Street Foods to Try in Singapore</t>
  </si>
  <si>
    <t xml:space="preserve">best street food in singapore</t>
  </si>
  <si>
    <t xml:space="preserve">Top 10 Hidden Gems in France</t>
  </si>
  <si>
    <t xml:space="preserve">hidden gems in france</t>
  </si>
  <si>
    <t xml:space="preserve">Pillar: France hub; #60 Top 10 Day Trips from Nice; #132 Top 10 Day Trips from Bordeaux</t>
  </si>
  <si>
    <t xml:space="preserve">Top 10 Day Trips from Aberdeen</t>
  </si>
  <si>
    <t xml:space="preserve">day trips from aberdeen</t>
  </si>
  <si>
    <t xml:space="preserve">Aberdeen</t>
  </si>
  <si>
    <t xml:space="preserve">Pillar: Scotland hub; #110 Top 10 Day Trips from Inverness; #317 Top 10 Day Trips from Fort William</t>
  </si>
  <si>
    <t xml:space="preserve">Top 10 Bars in Ho Chi Minh City</t>
  </si>
  <si>
    <t xml:space="preserve">best bars in ho chi minh city</t>
  </si>
  <si>
    <t xml:space="preserve">Top 10 Cafes in London</t>
  </si>
  <si>
    <t xml:space="preserve">best cafes in london</t>
  </si>
  <si>
    <t xml:space="preserve">Top 10 Street Foods to Try in Rome</t>
  </si>
  <si>
    <t xml:space="preserve">best street food in rome</t>
  </si>
  <si>
    <t xml:space="preserve">Top 10 Beaches in Cornwall</t>
  </si>
  <si>
    <t xml:space="preserve">best beaches in cornwall</t>
  </si>
  <si>
    <t xml:space="preserve">best beaches in cornwall (UK 3600/KD49)</t>
  </si>
  <si>
    <t xml:space="preserve">Pillar: England hub; #142 Top 10 Beaches in England; #53 Top 10 Day Trips from Oxford</t>
  </si>
  <si>
    <t xml:space="preserve">Interlink with live 'Top 10 Coastal Destinations in the UK'</t>
  </si>
  <si>
    <t xml:space="preserve">Top 10 Wine Bars in Rome</t>
  </si>
  <si>
    <t xml:space="preserve">best wine bars in rome</t>
  </si>
  <si>
    <t xml:space="preserve">Top 10 Places to Eat in Chiang Mai</t>
  </si>
  <si>
    <t xml:space="preserve">best food in chiang mai</t>
  </si>
  <si>
    <t xml:space="preserve">Chiang Mai</t>
  </si>
  <si>
    <t xml:space="preserve">Pillar: Thailand hub; #320 Top 10 Day Trips from Chiang Mai</t>
  </si>
  <si>
    <t xml:space="preserve">Top 10 Bars in Krakow</t>
  </si>
  <si>
    <t xml:space="preserve">best bars in krakow</t>
  </si>
  <si>
    <t xml:space="preserve">Pillar: Krakow hub; #28 Top 10 Day Trips from Krakow; #259 Top 10 Places to Eat in Krakow</t>
  </si>
  <si>
    <t xml:space="preserve">Top 10 Street Foods to Try in Chicago</t>
  </si>
  <si>
    <t xml:space="preserve">best street food in chicago</t>
  </si>
  <si>
    <t xml:space="preserve">Pillar: Chicago hub; #70 Top 10 Brunch Spots in Chicago; #331 Top 10 Cafes in Chicago</t>
  </si>
  <si>
    <t xml:space="preserve">Top 10 Hidden Gems in Venice</t>
  </si>
  <si>
    <t xml:space="preserve">hidden gems in venice</t>
  </si>
  <si>
    <t xml:space="preserve">Top 10 Foods to Try in Osaka</t>
  </si>
  <si>
    <t xml:space="preserve">what to eat in osaka</t>
  </si>
  <si>
    <t xml:space="preserve">Top 10 Things to Do in San Francisco</t>
  </si>
  <si>
    <t xml:space="preserve">things to do in san francisco</t>
  </si>
  <si>
    <t xml:space="preserve">Things to do</t>
  </si>
  <si>
    <t xml:space="preserve">things to do in san francisco (US 60500/KD77)</t>
  </si>
  <si>
    <t xml:space="preserve">Pillar: San Francisco hub; #198 Top 10 Bars in San Francisco; #279 Top 10 Brunch Spots in San Francisco</t>
  </si>
  <si>
    <t xml:space="preserve">KD mismatch: same keyword is KD 60+ in the other market, treat as stretch</t>
  </si>
  <si>
    <t xml:space="preserve">Top 10 Rooftop Bars in London</t>
  </si>
  <si>
    <t xml:space="preserve">best rooftop bars in london</t>
  </si>
  <si>
    <t xml:space="preserve">Pillar: London hub; #347 Top 10 Pubs in London; #7 Top 10 Day Trips from London</t>
  </si>
  <si>
    <t xml:space="preserve">Top 10 Brunch Spots in San Francisco</t>
  </si>
  <si>
    <t xml:space="preserve">best brunch in san francisco</t>
  </si>
  <si>
    <t xml:space="preserve">Pillar: San Francisco hub; #280 Top 10 Places to Eat in San Francisco; #198 Top 10 Bars in San Francisco</t>
  </si>
  <si>
    <t xml:space="preserve">Top 10 Places to Eat in San Francisco</t>
  </si>
  <si>
    <t xml:space="preserve">best restaurants in san francisco</t>
  </si>
  <si>
    <t xml:space="preserve">best food in san francisco; best places to eat in san francisco</t>
  </si>
  <si>
    <t xml:space="preserve">best restaurants in san francisco (US 22400/KD92)</t>
  </si>
  <si>
    <t xml:space="preserve">Pillar: San Francisco hub; #279 Top 10 Brunch Spots in San Francisco; #198 Top 10 Bars in San Francisco</t>
  </si>
  <si>
    <t xml:space="preserve">Top 10 Beaches in Malta</t>
  </si>
  <si>
    <t xml:space="preserve">best beaches in malta</t>
  </si>
  <si>
    <t xml:space="preserve">Malta</t>
  </si>
  <si>
    <t xml:space="preserve">Top 10 Bars in Glasgow</t>
  </si>
  <si>
    <t xml:space="preserve">best bars in glasgow</t>
  </si>
  <si>
    <t xml:space="preserve">best cocktail bars in glasgow</t>
  </si>
  <si>
    <t xml:space="preserve">Pillar: Glasgow hub; #224 Top 10 Pubs in Glasgow; #39 Top 10 Day Trips from Glasgow</t>
  </si>
  <si>
    <t xml:space="preserve">Top 10 Foods to Try in Hong Kong</t>
  </si>
  <si>
    <t xml:space="preserve">what to eat in hong kong</t>
  </si>
  <si>
    <t xml:space="preserve">Pillar: Hong Kong hub; #245 Top 10 Places to Eat in Hong Kong; #214 Top 10 Day Trips from Hong Kong</t>
  </si>
  <si>
    <t xml:space="preserve">Top 10 Beaches in Italy</t>
  </si>
  <si>
    <t xml:space="preserve">best beaches in italy</t>
  </si>
  <si>
    <t xml:space="preserve">best beaches in italy (US 2900/KD57)</t>
  </si>
  <si>
    <t xml:space="preserve">Pillar: Italy hub; #240 Top 10 Islands in Italy; #326 Top 10 Beaches in Sardinia</t>
  </si>
  <si>
    <t xml:space="preserve">Top 10 Foods to Try in France</t>
  </si>
  <si>
    <t xml:space="preserve">what to eat in france</t>
  </si>
  <si>
    <t xml:space="preserve">Top 10 Small Towns in Spain</t>
  </si>
  <si>
    <t xml:space="preserve">best small towns in spain</t>
  </si>
  <si>
    <t xml:space="preserve">Top 10 Street Foods to Try in Paris</t>
  </si>
  <si>
    <t xml:space="preserve">best street food in paris</t>
  </si>
  <si>
    <t xml:space="preserve">Top 10 Cafes in Athens</t>
  </si>
  <si>
    <t xml:space="preserve">best cafes in athens</t>
  </si>
  <si>
    <t xml:space="preserve">Top 10 Rooftop Bars in Mexico City</t>
  </si>
  <si>
    <t xml:space="preserve">best rooftop bars in mexico city</t>
  </si>
  <si>
    <t xml:space="preserve">Pillar: Mexico hub; #173 Top 10 Day Trips from Cancun; #247 Top 10 Street Foods to Try in Mexico City</t>
  </si>
  <si>
    <t xml:space="preserve">Top 10 Beaches in Portugal</t>
  </si>
  <si>
    <t xml:space="preserve">best beaches in portugal</t>
  </si>
  <si>
    <t xml:space="preserve">Pillar: Portugal hub; #242 Top 10 Foods to Try in Portugal</t>
  </si>
  <si>
    <t xml:space="preserve">Top 10 Places to Eat in London</t>
  </si>
  <si>
    <t xml:space="preserve">best places to eat in london</t>
  </si>
  <si>
    <t xml:space="preserve">best food in london</t>
  </si>
  <si>
    <t xml:space="preserve">best restaurants in london (US 5700/KD69); best restaurants in london (UK 14800/KD81)</t>
  </si>
  <si>
    <t xml:space="preserve">Top 10 Cafes in Bangkok</t>
  </si>
  <si>
    <t xml:space="preserve">best cafes in bangkok</t>
  </si>
  <si>
    <t xml:space="preserve">Top 10 Places to Eat in Montreal</t>
  </si>
  <si>
    <t xml:space="preserve">best restaurants in montreal</t>
  </si>
  <si>
    <t xml:space="preserve">Pillar: Canada hub; #298 Top 10 Places to Eat in Quebec City; #94 Top 10 Day Trips from Montreal</t>
  </si>
  <si>
    <t xml:space="preserve">Top 10 Bars in Porto</t>
  </si>
  <si>
    <t xml:space="preserve">best bars in porto</t>
  </si>
  <si>
    <t xml:space="preserve">Pillar: Porto hub; #68 Top 10 Places to Eat in Porto; #300 Top 10 Cafes in Porto</t>
  </si>
  <si>
    <t xml:space="preserve">Top 10 Small Towns in France</t>
  </si>
  <si>
    <t xml:space="preserve">best small towns in france</t>
  </si>
  <si>
    <t xml:space="preserve">Top 10 Bars in New Orleans</t>
  </si>
  <si>
    <t xml:space="preserve">best bars in new orleans</t>
  </si>
  <si>
    <t xml:space="preserve">Pillar: New Orleans hub; #327 Top 10 Rooftop Bars in New Orleans; #113 Top 10 Places for Beignets in New Orleans</t>
  </si>
  <si>
    <t xml:space="preserve">Top 10 Places to Eat in Quebec City</t>
  </si>
  <si>
    <t xml:space="preserve">best restaurants in quebec city</t>
  </si>
  <si>
    <t xml:space="preserve">Quebec City</t>
  </si>
  <si>
    <t xml:space="preserve">Pillar: Canada hub; #294 Top 10 Places to Eat in Montreal; #94 Top 10 Day Trips from Montreal</t>
  </si>
  <si>
    <t xml:space="preserve">Top 10 Day Trips from Austin</t>
  </si>
  <si>
    <t xml:space="preserve">day trips from austin</t>
  </si>
  <si>
    <t xml:space="preserve">Pillar: Austin hub; #253 Top 10 Bars in Austin; #313 Top 10 Places to Eat in Austin</t>
  </si>
  <si>
    <t xml:space="preserve">Top 10 Cafes in Porto</t>
  </si>
  <si>
    <t xml:space="preserve">best cafes in porto</t>
  </si>
  <si>
    <t xml:space="preserve">Pillar: Porto hub; #68 Top 10 Places to Eat in Porto; #295 Top 10 Bars in Porto</t>
  </si>
  <si>
    <t xml:space="preserve">Top 10 Tapas Bars in Malaga</t>
  </si>
  <si>
    <t xml:space="preserve">best tapas in malaga</t>
  </si>
  <si>
    <t xml:space="preserve">Top 10 Banh Mi Spots in Hanoi</t>
  </si>
  <si>
    <t xml:space="preserve">best banh mi in hanoi</t>
  </si>
  <si>
    <t xml:space="preserve">Dish: Banh Mi</t>
  </si>
  <si>
    <t xml:space="preserve">Top 10 Beaches in Crete</t>
  </si>
  <si>
    <t xml:space="preserve">best beaches in crete</t>
  </si>
  <si>
    <t xml:space="preserve">Crete</t>
  </si>
  <si>
    <t xml:space="preserve">Pillar: Greece hub; #119 Top 10 Beaches in Greece; #226 Top 10 Foods to Try in Greece</t>
  </si>
  <si>
    <t xml:space="preserve">Top 10 Beaches in Mallorca</t>
  </si>
  <si>
    <t xml:space="preserve">best beaches in mallorca</t>
  </si>
  <si>
    <t xml:space="preserve">Mallorca</t>
  </si>
  <si>
    <t xml:space="preserve">Pillar: Spain hub; #128 Top 10 Islands in Spain; #305 Top 10 Beaches in Tenerife</t>
  </si>
  <si>
    <t xml:space="preserve">Top 10 Beaches in Tenerife</t>
  </si>
  <si>
    <t xml:space="preserve">best beaches in tenerife</t>
  </si>
  <si>
    <t xml:space="preserve">Tenerife</t>
  </si>
  <si>
    <t xml:space="preserve">Pillar: Spain hub; #128 Top 10 Islands in Spain; #304 Top 10 Beaches in Mallorca</t>
  </si>
  <si>
    <t xml:space="preserve">Top 10 Foods to Try in Seoul</t>
  </si>
  <si>
    <t xml:space="preserve">what to eat in seoul</t>
  </si>
  <si>
    <t xml:space="preserve">Pillar: Seoul hub; #108 Top 10 Places to Eat in Seoul; #210 Top 10 Bars in Seoul</t>
  </si>
  <si>
    <t xml:space="preserve">Top 10 Street Foods to Try in Prague</t>
  </si>
  <si>
    <t xml:space="preserve">best street food in prague</t>
  </si>
  <si>
    <t xml:space="preserve">Top 10 Places to Eat in New York</t>
  </si>
  <si>
    <t xml:space="preserve">best places to eat in new york</t>
  </si>
  <si>
    <t xml:space="preserve">best food in new york; best restaurants in new york</t>
  </si>
  <si>
    <t xml:space="preserve">best restaurants in new york (US 9900/KD70)</t>
  </si>
  <si>
    <t xml:space="preserve">Pillar: New York hub; #229 Top 10 Cafes in New York; #237 Top 10 Brunch Spots in New York</t>
  </si>
  <si>
    <t xml:space="preserve">Top 10 Islands in the Caribbean</t>
  </si>
  <si>
    <t xml:space="preserve">best islands in the caribbean</t>
  </si>
  <si>
    <t xml:space="preserve">the Caribbean</t>
  </si>
  <si>
    <t xml:space="preserve">Caribbean</t>
  </si>
  <si>
    <t xml:space="preserve">Pillar: Latin America &amp; Caribbean hub; #335 Top 10 Beaches in the Caribbean</t>
  </si>
  <si>
    <t xml:space="preserve">Top 10 Places to Eat in Miami</t>
  </si>
  <si>
    <t xml:space="preserve">best restaurants in miami</t>
  </si>
  <si>
    <t xml:space="preserve">best food in miami; best places to eat in miami</t>
  </si>
  <si>
    <t xml:space="preserve">best restaurants in miami (US 12100/KD79)</t>
  </si>
  <si>
    <t xml:space="preserve">Pillar: Miami hub; #228 Top 10 Brunch Spots in Miami; #333 Top 10 Beaches in Miami</t>
  </si>
  <si>
    <t xml:space="preserve">Recent volume spike, verify before prioritising; KD mismatch: same keyword is KD 60+ in the other market, treat as stretch</t>
  </si>
  <si>
    <t xml:space="preserve">Top 10 Cafes in Madrid</t>
  </si>
  <si>
    <t xml:space="preserve">best cafes in madrid</t>
  </si>
  <si>
    <t xml:space="preserve">Pillar: Madrid hub; #20 Top 10 Places to Eat in Madrid; #221 Top 10 Brunch Spots in Madrid</t>
  </si>
  <si>
    <t xml:space="preserve">Top 10 Wine Bars in Lisbon</t>
  </si>
  <si>
    <t xml:space="preserve">best wine bars in lisbon</t>
  </si>
  <si>
    <t xml:space="preserve">Pillar: Lisbon hub; #92 Top 10 Bars in Lisbon; #154 Top 10 Rooftop Bars in Lisbon</t>
  </si>
  <si>
    <t xml:space="preserve">Top 10 Places to Eat in Austin</t>
  </si>
  <si>
    <t xml:space="preserve">best restaurants in austin</t>
  </si>
  <si>
    <t xml:space="preserve">best food in austin; best places to eat in austin</t>
  </si>
  <si>
    <t xml:space="preserve">best restaurants in austin (US 27800/KD75); best places to eat in austin (US 1500/KD57)</t>
  </si>
  <si>
    <t xml:space="preserve">Pillar: Austin hub; #253 Top 10 Bars in Austin; #299 Top 10 Day Trips from Austin</t>
  </si>
  <si>
    <t xml:space="preserve">Top 10 Things to Do in Nashville</t>
  </si>
  <si>
    <t xml:space="preserve">things to do in nashville</t>
  </si>
  <si>
    <t xml:space="preserve">things to do in nashville (US 74000/KD98)</t>
  </si>
  <si>
    <t xml:space="preserve">Top 10 Things to Do in Kyoto</t>
  </si>
  <si>
    <t xml:space="preserve">things to do in kyoto</t>
  </si>
  <si>
    <t xml:space="preserve">things to do in kyoto (US 18100/KD66)</t>
  </si>
  <si>
    <t xml:space="preserve">Top 10 Bars in Chicago</t>
  </si>
  <si>
    <t xml:space="preserve">best bars in chicago</t>
  </si>
  <si>
    <t xml:space="preserve">best cocktail bars in chicago</t>
  </si>
  <si>
    <t xml:space="preserve">best bars in chicago (US 1600/KD58)</t>
  </si>
  <si>
    <t xml:space="preserve">Pillar: Chicago hub; #70 Top 10 Brunch Spots in Chicago; #244 Top 10 Day Trips from Chicago</t>
  </si>
  <si>
    <t xml:space="preserve">Top 10 Day Trips from Fort William</t>
  </si>
  <si>
    <t xml:space="preserve">day trips from fort william</t>
  </si>
  <si>
    <t xml:space="preserve">Fort William</t>
  </si>
  <si>
    <t xml:space="preserve">Pillar: Scotland hub; #110 Top 10 Day Trips from Inverness; #266 Top 10 Day Trips from Aberdeen</t>
  </si>
  <si>
    <t xml:space="preserve">Top 10 Bars in Dubrovnik</t>
  </si>
  <si>
    <t xml:space="preserve">best bars in dubrovnik</t>
  </si>
  <si>
    <t xml:space="preserve">Pillar: Dubrovnik hub; #48 Top 10 Beaches in Dubrovnik; #194 Top 10 Places to Eat in Dubrovnik</t>
  </si>
  <si>
    <t xml:space="preserve">Top 10 Brunch Spots in Charleston</t>
  </si>
  <si>
    <t xml:space="preserve">best brunch in charleston</t>
  </si>
  <si>
    <t xml:space="preserve">Pillar: Charleston hub; #216 Top 10 Places to Eat in Charleston; #343 Top 10 Seafood Restaurants in Charleston</t>
  </si>
  <si>
    <t xml:space="preserve">Top 10 Day Trips from Chiang Mai</t>
  </si>
  <si>
    <t xml:space="preserve">day trips from chiang mai</t>
  </si>
  <si>
    <t xml:space="preserve">Pillar: Thailand hub; #272 Top 10 Places to Eat in Chiang Mai</t>
  </si>
  <si>
    <t xml:space="preserve">Top 10 Foods to Try in Singapore</t>
  </si>
  <si>
    <t xml:space="preserve">what to eat in singapore</t>
  </si>
  <si>
    <t xml:space="preserve">Top 10 Bars in Manchester</t>
  </si>
  <si>
    <t xml:space="preserve">best bars in manchester</t>
  </si>
  <si>
    <t xml:space="preserve">Manchester</t>
  </si>
  <si>
    <t xml:space="preserve">Pillar: England hub; #123 Top 10 Bars in Cambridge; #53 Top 10 Day Trips from Oxford</t>
  </si>
  <si>
    <t xml:space="preserve">Top 10 Cafes in New Orleans</t>
  </si>
  <si>
    <t xml:space="preserve">best cafes in new orleans</t>
  </si>
  <si>
    <t xml:space="preserve">Top 10 Whisky Bars in Edinburgh</t>
  </si>
  <si>
    <t xml:space="preserve">best whisky bars in edinburgh</t>
  </si>
  <si>
    <t xml:space="preserve">Whisky bars</t>
  </si>
  <si>
    <t xml:space="preserve">Pillar: Edinburgh hub; #87 Top 10 Bars in Edinburgh; #337 Top 10 Pubs in Edinburgh</t>
  </si>
  <si>
    <t xml:space="preserve">Top 10 Brunch Spots in Singapore</t>
  </si>
  <si>
    <t xml:space="preserve">best brunch in singapore</t>
  </si>
  <si>
    <t xml:space="preserve">Top 10 Beaches in Sardinia</t>
  </si>
  <si>
    <t xml:space="preserve">best beaches in sardinia</t>
  </si>
  <si>
    <t xml:space="preserve">Sardinia</t>
  </si>
  <si>
    <t xml:space="preserve">Pillar: Italy hub; #240 Top 10 Islands in Italy; #285 Top 10 Beaches in Italy</t>
  </si>
  <si>
    <t xml:space="preserve">Top 10 Rooftop Bars in New Orleans</t>
  </si>
  <si>
    <t xml:space="preserve">best rooftop bars in new orleans</t>
  </si>
  <si>
    <t xml:space="preserve">Pillar: New Orleans hub; #297 Top 10 Bars in New Orleans; #113 Top 10 Places for Beignets in New Orleans</t>
  </si>
  <si>
    <t xml:space="preserve">Top 10 Beaches in Mexico</t>
  </si>
  <si>
    <t xml:space="preserve">best beaches in mexico</t>
  </si>
  <si>
    <t xml:space="preserve">best beaches in mexico (US 3600/KD70)</t>
  </si>
  <si>
    <t xml:space="preserve">Top 10 Afternoon Teas in London</t>
  </si>
  <si>
    <t xml:space="preserve">best afternoon tea in london</t>
  </si>
  <si>
    <t xml:space="preserve">Top 10 Hot Chicken Spots in Nashville</t>
  </si>
  <si>
    <t xml:space="preserve">best hot chicken in nashville</t>
  </si>
  <si>
    <t xml:space="preserve">Dish: Hot Chicken</t>
  </si>
  <si>
    <t xml:space="preserve">Top 10 Cafes in Chicago</t>
  </si>
  <si>
    <t xml:space="preserve">best cafes in chicago</t>
  </si>
  <si>
    <t xml:space="preserve">Top 10 Hidden Gems in Greece</t>
  </si>
  <si>
    <t xml:space="preserve">hidden gems in greece</t>
  </si>
  <si>
    <t xml:space="preserve">Top 10 Beaches in Miami</t>
  </si>
  <si>
    <t xml:space="preserve">best beaches in miami</t>
  </si>
  <si>
    <t xml:space="preserve">Pillar: Miami hub; #228 Top 10 Brunch Spots in Miami; #310 Top 10 Places to Eat in Miami</t>
  </si>
  <si>
    <t xml:space="preserve">Top 10 Street Foods to Try in New York</t>
  </si>
  <si>
    <t xml:space="preserve">best street food in new york</t>
  </si>
  <si>
    <t xml:space="preserve">Top 10 Beaches in the Caribbean</t>
  </si>
  <si>
    <t xml:space="preserve">best beaches in the caribbean</t>
  </si>
  <si>
    <t xml:space="preserve">Pillar: Latin America &amp; Caribbean hub; #309 Top 10 Islands in the Caribbean</t>
  </si>
  <si>
    <t xml:space="preserve">Top 10 Beaches in Ibiza</t>
  </si>
  <si>
    <t xml:space="preserve">best beaches in ibiza</t>
  </si>
  <si>
    <t xml:space="preserve">Ibiza</t>
  </si>
  <si>
    <t xml:space="preserve">Top 10 Pubs in Edinburgh</t>
  </si>
  <si>
    <t xml:space="preserve">best pubs in edinburgh</t>
  </si>
  <si>
    <t xml:space="preserve">Pillar: Edinburgh hub; #87 Top 10 Bars in Edinburgh; #324 Top 10 Whisky Bars in Edinburgh</t>
  </si>
  <si>
    <t xml:space="preserve">Top 10 Rooftop Bars in Savannah</t>
  </si>
  <si>
    <t xml:space="preserve">best rooftop bars in savannah</t>
  </si>
  <si>
    <t xml:space="preserve">Pillar: Savannah hub; #45 Top 10 Places to Eat in Savannah; #180 Top 10 Day Trips from Savannah</t>
  </si>
  <si>
    <t xml:space="preserve">Top 10 Foods to Try in Mexico</t>
  </si>
  <si>
    <t xml:space="preserve">what to eat in mexico</t>
  </si>
  <si>
    <t xml:space="preserve">Pillar: Mexico hub; #247 Top 10 Street Foods to Try in Mexico City; #173 Top 10 Day Trips from Cancun</t>
  </si>
  <si>
    <t xml:space="preserve">Top 10 Street Foods to Try in Istanbul</t>
  </si>
  <si>
    <t xml:space="preserve">best street food in istanbul</t>
  </si>
  <si>
    <t xml:space="preserve">Pillar: Istanbul hub; #90 Top 10 Places to Eat in Istanbul; #256 Top 10 Kebab Spots in Istanbul</t>
  </si>
  <si>
    <t xml:space="preserve">Top 10 Day Trips from San Francisco</t>
  </si>
  <si>
    <t xml:space="preserve">day trips from san francisco</t>
  </si>
  <si>
    <t xml:space="preserve">Pillar: San Francisco hub; #198 Top 10 Bars in San Francisco; #277 Top 10 Things to Do in San Francisco</t>
  </si>
  <si>
    <t xml:space="preserve">Top 10 Places to Eat in Brighton</t>
  </si>
  <si>
    <t xml:space="preserve">best restaurants in brighton</t>
  </si>
  <si>
    <t xml:space="preserve">Brighton</t>
  </si>
  <si>
    <t xml:space="preserve">Pillar: England hub; #115 Top 10 Places to Eat in Liverpool; #174 Top 10 Places to Eat in Bristol</t>
  </si>
  <si>
    <t xml:space="preserve">Top 10 Seafood Restaurants in Charleston</t>
  </si>
  <si>
    <t xml:space="preserve">best seafood in charleston</t>
  </si>
  <si>
    <t xml:space="preserve">Dish: Seafood</t>
  </si>
  <si>
    <t xml:space="preserve">Top 10 Things to Do in Osaka</t>
  </si>
  <si>
    <t xml:space="preserve">things to do in osaka</t>
  </si>
  <si>
    <t xml:space="preserve">things to do in osaka (US 18100/KD90)</t>
  </si>
  <si>
    <t xml:space="preserve">Top 10 Places to Eat in Edinburgh</t>
  </si>
  <si>
    <t xml:space="preserve">best restaurants in edinburgh</t>
  </si>
  <si>
    <t xml:space="preserve">best places to eat in edinburgh; best food in edinburgh</t>
  </si>
  <si>
    <t xml:space="preserve">best restaurants in edinburgh (UK 4400/KD63)</t>
  </si>
  <si>
    <t xml:space="preserve">Top 10 Beaches in Florida</t>
  </si>
  <si>
    <t xml:space="preserve">best beaches in florida</t>
  </si>
  <si>
    <t xml:space="preserve">Florida</t>
  </si>
  <si>
    <t xml:space="preserve">best beaches in florida (US 22400/KD93)</t>
  </si>
  <si>
    <t xml:space="preserve">Top 10 Pubs in London</t>
  </si>
  <si>
    <t xml:space="preserve">best pubs in london</t>
  </si>
  <si>
    <t xml:space="preserve">best pubs in london (UK 3600/KD62)</t>
  </si>
  <si>
    <t xml:space="preserve">Pillar: London hub; #278 Top 10 Rooftop Bars in London; #7 Top 10 Day Trips from London</t>
  </si>
  <si>
    <t xml:space="preserve">Top 10 Places to Visit in Scotland</t>
  </si>
  <si>
    <t xml:space="preserve">best places to visit in scotland</t>
  </si>
  <si>
    <t xml:space="preserve">best places to visit in scotland (US 1300/KD63)</t>
  </si>
  <si>
    <t xml:space="preserve">Pillar: Scotland hub; #161 Top 10 Hidden Gems in Scotland; #110 Top 10 Day Trips from Inverness</t>
  </si>
  <si>
    <t xml:space="preserve">Keyword</t>
  </si>
  <si>
    <t xml:space="preserve">Market</t>
  </si>
  <si>
    <t xml:space="preserve">Volume</t>
  </si>
  <si>
    <t xml:space="preserve">US</t>
  </si>
  <si>
    <t xml:space="preserve">paris food guide</t>
  </si>
  <si>
    <t xml:space="preserve">rome food guide</t>
  </si>
  <si>
    <t xml:space="preserve">lisbon food guide</t>
  </si>
  <si>
    <t xml:space="preserve">KD 35 or under</t>
  </si>
  <si>
    <t xml:space="preserve">Recent spike</t>
  </si>
  <si>
    <t xml:space="preserve">things to do in new orleans</t>
  </si>
  <si>
    <t xml:space="preserve">new orleans</t>
  </si>
  <si>
    <t xml:space="preserve">nashville</t>
  </si>
  <si>
    <t xml:space="preserve">things to do in miami</t>
  </si>
  <si>
    <t xml:space="preserve">miami</t>
  </si>
  <si>
    <t xml:space="preserve">things to do in austin</t>
  </si>
  <si>
    <t xml:space="preserve">austin</t>
  </si>
  <si>
    <t xml:space="preserve">san francisco</t>
  </si>
  <si>
    <t xml:space="preserve">Yes</t>
  </si>
  <si>
    <t xml:space="preserve">things to do in charleston</t>
  </si>
  <si>
    <t xml:space="preserve">charleston</t>
  </si>
  <si>
    <t xml:space="preserve">best restaurants in new orleans</t>
  </si>
  <si>
    <t xml:space="preserve">best restaurants in savannah</t>
  </si>
  <si>
    <t xml:space="preserve">savannah</t>
  </si>
  <si>
    <t xml:space="preserve">best restaurants in nashville</t>
  </si>
  <si>
    <t xml:space="preserve">best restaurants in charleston</t>
  </si>
  <si>
    <t xml:space="preserve">things to do in paris</t>
  </si>
  <si>
    <t xml:space="preserve">paris</t>
  </si>
  <si>
    <t xml:space="preserve">things to do in glasgow</t>
  </si>
  <si>
    <t xml:space="preserve">glasgow</t>
  </si>
  <si>
    <t xml:space="preserve">florida</t>
  </si>
  <si>
    <t xml:space="preserve">things to do in rome</t>
  </si>
  <si>
    <t xml:space="preserve">rome</t>
  </si>
  <si>
    <t xml:space="preserve">osaka</t>
  </si>
  <si>
    <t xml:space="preserve">things to do in lisbon</t>
  </si>
  <si>
    <t xml:space="preserve">lisbon</t>
  </si>
  <si>
    <t xml:space="preserve">kyoto</t>
  </si>
  <si>
    <t xml:space="preserve">things to do in florence</t>
  </si>
  <si>
    <t xml:space="preserve">florence</t>
  </si>
  <si>
    <t xml:space="preserve">things to do in dublin</t>
  </si>
  <si>
    <t xml:space="preserve">dublin</t>
  </si>
  <si>
    <t xml:space="preserve">best restaurants in london</t>
  </si>
  <si>
    <t xml:space="preserve">london</t>
  </si>
  <si>
    <t xml:space="preserve">things to do in venice</t>
  </si>
  <si>
    <t xml:space="preserve">venice</t>
  </si>
  <si>
    <t xml:space="preserve">things to do in madrid</t>
  </si>
  <si>
    <t xml:space="preserve">madrid</t>
  </si>
  <si>
    <t xml:space="preserve">things to do in prague</t>
  </si>
  <si>
    <t xml:space="preserve">prague</t>
  </si>
  <si>
    <t xml:space="preserve">things to do in budapest</t>
  </si>
  <si>
    <t xml:space="preserve">budapest</t>
  </si>
  <si>
    <t xml:space="preserve">things to do in berlin</t>
  </si>
  <si>
    <t xml:space="preserve">berlin</t>
  </si>
  <si>
    <t xml:space="preserve">best christmas markets in europe</t>
  </si>
  <si>
    <t xml:space="preserve">europe</t>
  </si>
  <si>
    <t xml:space="preserve">best restaurants in chicago</t>
  </si>
  <si>
    <t xml:space="preserve">chicago</t>
  </si>
  <si>
    <t xml:space="preserve">things to do in naples</t>
  </si>
  <si>
    <t xml:space="preserve">naples</t>
  </si>
  <si>
    <t xml:space="preserve">things to do in porto</t>
  </si>
  <si>
    <t xml:space="preserve">porto</t>
  </si>
  <si>
    <t xml:space="preserve">things to do in copenhagen</t>
  </si>
  <si>
    <t xml:space="preserve">copenhagen</t>
  </si>
  <si>
    <t xml:space="preserve">best restaurants in paris</t>
  </si>
  <si>
    <t xml:space="preserve">things to do in seville</t>
  </si>
  <si>
    <t xml:space="preserve">seville</t>
  </si>
  <si>
    <t xml:space="preserve">best places to visit in italy</t>
  </si>
  <si>
    <t xml:space="preserve">italy</t>
  </si>
  <si>
    <t xml:space="preserve">best restaurants in new york</t>
  </si>
  <si>
    <t xml:space="preserve">new york</t>
  </si>
  <si>
    <t xml:space="preserve">things to do in singapore</t>
  </si>
  <si>
    <t xml:space="preserve">singapore</t>
  </si>
  <si>
    <t xml:space="preserve">things to do in savannah</t>
  </si>
  <si>
    <t xml:space="preserve">best beaches in puerto rico</t>
  </si>
  <si>
    <t xml:space="preserve">puerto rico</t>
  </si>
  <si>
    <t xml:space="preserve">things to do in vienna</t>
  </si>
  <si>
    <t xml:space="preserve">vienna</t>
  </si>
  <si>
    <t xml:space="preserve">best restaurants in asheville</t>
  </si>
  <si>
    <t xml:space="preserve">asheville</t>
  </si>
  <si>
    <t xml:space="preserve">best restaurants in manchester</t>
  </si>
  <si>
    <t xml:space="preserve">manchester</t>
  </si>
  <si>
    <t xml:space="preserve">things to do in bangkok</t>
  </si>
  <si>
    <t xml:space="preserve">bangkok</t>
  </si>
  <si>
    <t xml:space="preserve">things to do in bali</t>
  </si>
  <si>
    <t xml:space="preserve">bali</t>
  </si>
  <si>
    <t xml:space="preserve">day trips from rome</t>
  </si>
  <si>
    <t xml:space="preserve">best bbq in nashville</t>
  </si>
  <si>
    <t xml:space="preserve">BBQ</t>
  </si>
  <si>
    <t xml:space="preserve">things to do in istanbul</t>
  </si>
  <si>
    <t xml:space="preserve">istanbul</t>
  </si>
  <si>
    <t xml:space="preserve">best greek islands</t>
  </si>
  <si>
    <t xml:space="preserve">greece</t>
  </si>
  <si>
    <t xml:space="preserve">best beaches in costa rica</t>
  </si>
  <si>
    <t xml:space="preserve">costa rica</t>
  </si>
  <si>
    <t xml:space="preserve">best beaches in uk</t>
  </si>
  <si>
    <t xml:space="preserve">uk</t>
  </si>
  <si>
    <t xml:space="preserve">best restaurants in naples</t>
  </si>
  <si>
    <t xml:space="preserve">edinburgh</t>
  </si>
  <si>
    <t xml:space="preserve">things to do in dubrovnik</t>
  </si>
  <si>
    <t xml:space="preserve">dubrovnik</t>
  </si>
  <si>
    <t xml:space="preserve">best restaurants in sedona</t>
  </si>
  <si>
    <t xml:space="preserve">sedona</t>
  </si>
  <si>
    <t xml:space="preserve">best places to visit in spain</t>
  </si>
  <si>
    <t xml:space="preserve">spain</t>
  </si>
  <si>
    <t xml:space="preserve">mexico</t>
  </si>
  <si>
    <t xml:space="preserve">cornwall</t>
  </si>
  <si>
    <t xml:space="preserve">best pizza in new york</t>
  </si>
  <si>
    <t xml:space="preserve">Pizza</t>
  </si>
  <si>
    <t xml:space="preserve">best places to visit in greece</t>
  </si>
  <si>
    <t xml:space="preserve">best food in chicago</t>
  </si>
  <si>
    <t xml:space="preserve">best restaurants in florence</t>
  </si>
  <si>
    <t xml:space="preserve">day trips from florence</t>
  </si>
  <si>
    <t xml:space="preserve">best places to eat in nashville</t>
  </si>
  <si>
    <t xml:space="preserve">day trips from barcelona</t>
  </si>
  <si>
    <t xml:space="preserve">barcelona</t>
  </si>
  <si>
    <t xml:space="preserve">best restaurants in york</t>
  </si>
  <si>
    <t xml:space="preserve">york</t>
  </si>
  <si>
    <t xml:space="preserve">day trips from dublin</t>
  </si>
  <si>
    <t xml:space="preserve">best beaches in wales</t>
  </si>
  <si>
    <t xml:space="preserve">wales</t>
  </si>
  <si>
    <t xml:space="preserve">best places to eat in austin</t>
  </si>
  <si>
    <t xml:space="preserve">best bars in miami</t>
  </si>
  <si>
    <t xml:space="preserve">best bars in london</t>
  </si>
  <si>
    <t xml:space="preserve">best beaches in hawaii</t>
  </si>
  <si>
    <t xml:space="preserve">hawaii</t>
  </si>
  <si>
    <t xml:space="preserve">weekend getaways from nyc</t>
  </si>
  <si>
    <t xml:space="preserve">best beaches in spain</t>
  </si>
  <si>
    <t xml:space="preserve">day trips from boston</t>
  </si>
  <si>
    <t xml:space="preserve">boston</t>
  </si>
  <si>
    <t xml:space="preserve">scotland</t>
  </si>
  <si>
    <t xml:space="preserve">best restaurants in venice</t>
  </si>
  <si>
    <t xml:space="preserve">best restaurants in copenhagen</t>
  </si>
  <si>
    <t xml:space="preserve">things to do in hanoi</t>
  </si>
  <si>
    <t xml:space="preserve">hanoi</t>
  </si>
  <si>
    <t xml:space="preserve">best bbq in austin</t>
  </si>
  <si>
    <t xml:space="preserve">day trips from seattle</t>
  </si>
  <si>
    <t xml:space="preserve">seattle</t>
  </si>
  <si>
    <t xml:space="preserve">las vegas</t>
  </si>
  <si>
    <t xml:space="preserve">hilton head</t>
  </si>
  <si>
    <t xml:space="preserve">tokyo</t>
  </si>
  <si>
    <t xml:space="preserve">louisville</t>
  </si>
  <si>
    <t xml:space="preserve">australia</t>
  </si>
  <si>
    <t xml:space="preserve">myrtle beach</t>
  </si>
  <si>
    <t xml:space="preserve">liverpool</t>
  </si>
  <si>
    <t xml:space="preserve">best places to eat in chicago</t>
  </si>
  <si>
    <t xml:space="preserve">athens</t>
  </si>
  <si>
    <t xml:space="preserve">malaysia</t>
  </si>
  <si>
    <t xml:space="preserve">krakow</t>
  </si>
  <si>
    <t xml:space="preserve">ireland</t>
  </si>
  <si>
    <t xml:space="preserve">honolulu</t>
  </si>
  <si>
    <t xml:space="preserve">breckenridge</t>
  </si>
  <si>
    <t xml:space="preserve">vancouver</t>
  </si>
  <si>
    <t xml:space="preserve">cambridge</t>
  </si>
  <si>
    <t xml:space="preserve">best bars in greenville sc</t>
  </si>
  <si>
    <t xml:space="preserve">greenville sc</t>
  </si>
  <si>
    <t xml:space="preserve">best bars in birmingham al</t>
  </si>
  <si>
    <t xml:space="preserve">birmingham al</t>
  </si>
  <si>
    <t xml:space="preserve">best bars in boulder</t>
  </si>
  <si>
    <t xml:space="preserve">boulder</t>
  </si>
  <si>
    <t xml:space="preserve">best dive bars in austin</t>
  </si>
  <si>
    <t xml:space="preserve">?</t>
  </si>
  <si>
    <t xml:space="preserve">best dive bars in las vegas</t>
  </si>
  <si>
    <t xml:space="preserve">best dive bars in boston</t>
  </si>
  <si>
    <t xml:space="preserve">best wine bars in los angeles</t>
  </si>
  <si>
    <t xml:space="preserve">los angeles</t>
  </si>
  <si>
    <t xml:space="preserve">best hotel bars in chicago</t>
  </si>
  <si>
    <t xml:space="preserve">best rooftop bars in dallas</t>
  </si>
  <si>
    <t xml:space="preserve">dallas</t>
  </si>
  <si>
    <t xml:space="preserve">best rooftop bars in san diego</t>
  </si>
  <si>
    <t xml:space="preserve">san diego</t>
  </si>
  <si>
    <t xml:space="preserve">world</t>
  </si>
  <si>
    <t xml:space="preserve">frankfurt</t>
  </si>
  <si>
    <t xml:space="preserve">lucerne</t>
  </si>
  <si>
    <t xml:space="preserve">montreal</t>
  </si>
  <si>
    <t xml:space="preserve">sydney</t>
  </si>
  <si>
    <t xml:space="preserve">day trips from tampa</t>
  </si>
  <si>
    <t xml:space="preserve">tampa</t>
  </si>
  <si>
    <t xml:space="preserve">day trips from cincinnati ohio</t>
  </si>
  <si>
    <t xml:space="preserve">cincinnati</t>
  </si>
  <si>
    <t xml:space="preserve">amsterdam</t>
  </si>
  <si>
    <t xml:space="preserve">day trip from osaka to kyoto</t>
  </si>
  <si>
    <t xml:space="preserve">osaka to kyoto</t>
  </si>
  <si>
    <t xml:space="preserve">sahara desert day trip from marrakech</t>
  </si>
  <si>
    <t xml:space="preserve">ljubljana</t>
  </si>
  <si>
    <t xml:space="preserve">dubai</t>
  </si>
  <si>
    <t xml:space="preserve">Gelato</t>
  </si>
  <si>
    <t xml:space="preserve">seoul</t>
  </si>
  <si>
    <t xml:space="preserve">malaga</t>
  </si>
  <si>
    <t xml:space="preserve">bologna</t>
  </si>
  <si>
    <t xml:space="preserve">croatia</t>
  </si>
  <si>
    <t xml:space="preserve">the us</t>
  </si>
  <si>
    <t xml:space="preserve">nice</t>
  </si>
  <si>
    <t xml:space="preserve">bristol</t>
  </si>
  <si>
    <t xml:space="preserve">england</t>
  </si>
  <si>
    <t xml:space="preserve">Beignets</t>
  </si>
  <si>
    <t xml:space="preserve">best places to eat in madrid</t>
  </si>
  <si>
    <t xml:space="preserve">best restaurants in kyoto</t>
  </si>
  <si>
    <t xml:space="preserve">best places to eat in copenhagen</t>
  </si>
  <si>
    <t xml:space="preserve">st augustine</t>
  </si>
  <si>
    <t xml:space="preserve">Pasta</t>
  </si>
  <si>
    <t xml:space="preserve">Fish And Chips</t>
  </si>
  <si>
    <t xml:space="preserve">Afternoon Tea</t>
  </si>
  <si>
    <t xml:space="preserve">inverness</t>
  </si>
  <si>
    <t xml:space="preserve">cardiff</t>
  </si>
  <si>
    <t xml:space="preserve">Pintxos</t>
  </si>
  <si>
    <t xml:space="preserve">san sebastian</t>
  </si>
  <si>
    <t xml:space="preserve">valencia</t>
  </si>
  <si>
    <t xml:space="preserve">toronto</t>
  </si>
  <si>
    <t xml:space="preserve">taipei</t>
  </si>
  <si>
    <t xml:space="preserve">salzburg</t>
  </si>
  <si>
    <t xml:space="preserve">zurich</t>
  </si>
  <si>
    <t xml:space="preserve">oxford</t>
  </si>
  <si>
    <t xml:space="preserve">munich</t>
  </si>
  <si>
    <t xml:space="preserve">santa fe</t>
  </si>
  <si>
    <t xml:space="preserve">best restaurants in madrid</t>
  </si>
  <si>
    <t xml:space="preserve">best food in copenhagen</t>
  </si>
  <si>
    <t xml:space="preserve">best food in barcelona</t>
  </si>
  <si>
    <t xml:space="preserve">ho chi minh city</t>
  </si>
  <si>
    <t xml:space="preserve">sri lanka</t>
  </si>
  <si>
    <t xml:space="preserve">indonesia</t>
  </si>
  <si>
    <t xml:space="preserve">cyprus</t>
  </si>
  <si>
    <t xml:space="preserve">Sushi</t>
  </si>
  <si>
    <t xml:space="preserve">hoi an</t>
  </si>
  <si>
    <t xml:space="preserve">Ramen</t>
  </si>
  <si>
    <t xml:space="preserve">hong kong</t>
  </si>
  <si>
    <t xml:space="preserve">where to eat in prague</t>
  </si>
  <si>
    <t xml:space="preserve">split</t>
  </si>
  <si>
    <t xml:space="preserve">sorrento</t>
  </si>
  <si>
    <t xml:space="preserve">key west</t>
  </si>
  <si>
    <t xml:space="preserve">best restaurants in athens</t>
  </si>
  <si>
    <t xml:space="preserve">best restaurants in barcelona</t>
  </si>
  <si>
    <t xml:space="preserve">best places to eat in lisbon</t>
  </si>
  <si>
    <t xml:space="preserve">best food in athens</t>
  </si>
  <si>
    <t xml:space="preserve">Tapas</t>
  </si>
  <si>
    <t xml:space="preserve">granada</t>
  </si>
  <si>
    <t xml:space="preserve">cusco</t>
  </si>
  <si>
    <t xml:space="preserve">cork</t>
  </si>
  <si>
    <t xml:space="preserve">cancun</t>
  </si>
  <si>
    <t xml:space="preserve">the cotswolds</t>
  </si>
  <si>
    <t xml:space="preserve">bath</t>
  </si>
  <si>
    <t xml:space="preserve">yorkshire</t>
  </si>
  <si>
    <t xml:space="preserve">lima</t>
  </si>
  <si>
    <t xml:space="preserve">belfast</t>
  </si>
  <si>
    <t xml:space="preserve">best places to eat in prague</t>
  </si>
  <si>
    <t xml:space="preserve">best places to eat in kyoto</t>
  </si>
  <si>
    <t xml:space="preserve">best food in porto</t>
  </si>
  <si>
    <t xml:space="preserve">best food in glasgow</t>
  </si>
  <si>
    <t xml:space="preserve">best food in berlin</t>
  </si>
  <si>
    <t xml:space="preserve">best restaurants in osaka</t>
  </si>
  <si>
    <t xml:space="preserve">best places to eat in vienna</t>
  </si>
  <si>
    <t xml:space="preserve">tenerife</t>
  </si>
  <si>
    <t xml:space="preserve">Pad Thai</t>
  </si>
  <si>
    <t xml:space="preserve">melbourne</t>
  </si>
  <si>
    <t xml:space="preserve">day trips from dallas</t>
  </si>
  <si>
    <t xml:space="preserve">cairo</t>
  </si>
  <si>
    <t xml:space="preserve">bordeaux</t>
  </si>
  <si>
    <t xml:space="preserve">aberdeen</t>
  </si>
  <si>
    <t xml:space="preserve">best food in austin</t>
  </si>
  <si>
    <t xml:space="preserve">best places to eat in osaka</t>
  </si>
  <si>
    <t xml:space="preserve">best food in san francisco</t>
  </si>
  <si>
    <t xml:space="preserve">best food in hanoi</t>
  </si>
  <si>
    <t xml:space="preserve">best restaurants in budapest</t>
  </si>
  <si>
    <t xml:space="preserve">best places to eat in istanbul</t>
  </si>
  <si>
    <t xml:space="preserve">best food in venice</t>
  </si>
  <si>
    <t xml:space="preserve">mexico city</t>
  </si>
  <si>
    <t xml:space="preserve">Pho</t>
  </si>
  <si>
    <t xml:space="preserve">Pastel De Nata</t>
  </si>
  <si>
    <t xml:space="preserve">portugal</t>
  </si>
  <si>
    <t xml:space="preserve">day trips from phoenix</t>
  </si>
  <si>
    <t xml:space="preserve">phoenix</t>
  </si>
  <si>
    <t xml:space="preserve">interlaken</t>
  </si>
  <si>
    <t xml:space="preserve">day trips from denver</t>
  </si>
  <si>
    <t xml:space="preserve">denver</t>
  </si>
  <si>
    <t xml:space="preserve">best places to eat in savannah</t>
  </si>
  <si>
    <t xml:space="preserve">Hot Chicken</t>
  </si>
  <si>
    <t xml:space="preserve">best places to eat in budapest</t>
  </si>
  <si>
    <t xml:space="preserve">best places to eat in bangkok</t>
  </si>
  <si>
    <t xml:space="preserve">best food in seville</t>
  </si>
  <si>
    <t xml:space="preserve">best food in bali</t>
  </si>
  <si>
    <t xml:space="preserve">best places to eat in san francisco</t>
  </si>
  <si>
    <t xml:space="preserve">best places to eat in miami</t>
  </si>
  <si>
    <t xml:space="preserve">best food in miami</t>
  </si>
  <si>
    <t xml:space="preserve">best food in florence</t>
  </si>
  <si>
    <t xml:space="preserve">turkey</t>
  </si>
  <si>
    <t xml:space="preserve">crete</t>
  </si>
  <si>
    <t xml:space="preserve">Kebab</t>
  </si>
  <si>
    <t xml:space="preserve">chiang mai</t>
  </si>
  <si>
    <t xml:space="preserve">milan</t>
  </si>
  <si>
    <t xml:space="preserve">best places to eat in tokyo</t>
  </si>
  <si>
    <t xml:space="preserve">best food in tokyo</t>
  </si>
  <si>
    <t xml:space="preserve">hidden gems in uk</t>
  </si>
  <si>
    <t xml:space="preserve">where to eat in bangkok</t>
  </si>
  <si>
    <t xml:space="preserve">france</t>
  </si>
  <si>
    <t xml:space="preserve">cape town</t>
  </si>
  <si>
    <t xml:space="preserve">bruges</t>
  </si>
  <si>
    <t xml:space="preserve">the caribbean</t>
  </si>
  <si>
    <t xml:space="preserve">best places to eat in new orleans</t>
  </si>
  <si>
    <t xml:space="preserve">quebec city</t>
  </si>
  <si>
    <t xml:space="preserve">malta</t>
  </si>
  <si>
    <t xml:space="preserve">ibiza</t>
  </si>
  <si>
    <t xml:space="preserve">Banh Mi</t>
  </si>
  <si>
    <t xml:space="preserve">fort william</t>
  </si>
  <si>
    <t xml:space="preserve">best restaurants in lisbon</t>
  </si>
  <si>
    <t xml:space="preserve">best food in new york</t>
  </si>
  <si>
    <t xml:space="preserve">Seafood</t>
  </si>
  <si>
    <t xml:space="preserve">brighton</t>
  </si>
  <si>
    <t xml:space="preserve">day trips from atlanta</t>
  </si>
  <si>
    <t xml:space="preserve">atlanta</t>
  </si>
  <si>
    <t xml:space="preserve">best street food in san francisco</t>
  </si>
  <si>
    <t xml:space="preserve">best places to eat in ho chi minh city</t>
  </si>
  <si>
    <t xml:space="preserve">best places to eat in hanoi</t>
  </si>
  <si>
    <t xml:space="preserve">best cafes in istanbul</t>
  </si>
  <si>
    <t xml:space="preserve">best brunch in copenhagen</t>
  </si>
  <si>
    <t xml:space="preserve">best brunch in barcelona</t>
  </si>
  <si>
    <t xml:space="preserve">day trips from new orleans</t>
  </si>
  <si>
    <t xml:space="preserve">best bars in cape town</t>
  </si>
  <si>
    <t xml:space="preserve">day trips from dundee</t>
  </si>
  <si>
    <t xml:space="preserve">dundee</t>
  </si>
  <si>
    <t xml:space="preserve">best restaurants in vienna</t>
  </si>
  <si>
    <t xml:space="preserve">day trips from vienna</t>
  </si>
  <si>
    <t xml:space="preserve">best street food in miami</t>
  </si>
  <si>
    <t xml:space="preserve">best rooftop bars in ho chi minh city</t>
  </si>
  <si>
    <t xml:space="preserve">best cafes in savannah</t>
  </si>
  <si>
    <t xml:space="preserve">best brunch in rome</t>
  </si>
  <si>
    <t xml:space="preserve">best bars in seville</t>
  </si>
  <si>
    <t xml:space="preserve">best rooftop bars in berlin</t>
  </si>
  <si>
    <t xml:space="preserve">best places to eat in edinburgh</t>
  </si>
  <si>
    <t xml:space="preserve">best bars in kyoto</t>
  </si>
  <si>
    <t xml:space="preserve">mallorca</t>
  </si>
  <si>
    <t xml:space="preserve">what to eat in vietnam</t>
  </si>
  <si>
    <t xml:space="preserve">vietnam</t>
  </si>
  <si>
    <t xml:space="preserve">what to eat in bangkok</t>
  </si>
  <si>
    <t xml:space="preserve">best brunch in austin</t>
  </si>
  <si>
    <t xml:space="preserve">best places to eat in glasgow</t>
  </si>
  <si>
    <t xml:space="preserve">best street food in osaka</t>
  </si>
  <si>
    <t xml:space="preserve">best places to eat in bali</t>
  </si>
  <si>
    <t xml:space="preserve">best brunch in prague</t>
  </si>
  <si>
    <t xml:space="preserve">best street food in berlin</t>
  </si>
  <si>
    <t xml:space="preserve">best rooftop bars in miami</t>
  </si>
  <si>
    <t xml:space="preserve">best brunch in edinburgh</t>
  </si>
  <si>
    <t xml:space="preserve">best bars in bali</t>
  </si>
  <si>
    <t xml:space="preserve">hidden gems in porto</t>
  </si>
  <si>
    <t xml:space="preserve">hidden gems in croatia</t>
  </si>
  <si>
    <t xml:space="preserve">day trips from porto</t>
  </si>
  <si>
    <t xml:space="preserve">sardinia</t>
  </si>
  <si>
    <t xml:space="preserve">best beaches in philippines</t>
  </si>
  <si>
    <t xml:space="preserve">philippines</t>
  </si>
  <si>
    <t xml:space="preserve">day trips from manchester</t>
  </si>
  <si>
    <t xml:space="preserve">best beaches in norfolk</t>
  </si>
  <si>
    <t xml:space="preserve">norfolk</t>
  </si>
  <si>
    <t xml:space="preserve">what to eat in hanoi</t>
  </si>
  <si>
    <t xml:space="preserve">best street food in new orleans</t>
  </si>
  <si>
    <t xml:space="preserve">best rooftop bars in vienna</t>
  </si>
  <si>
    <t xml:space="preserve">best restaurants in porto</t>
  </si>
  <si>
    <t xml:space="preserve">best restaurants in istanbul</t>
  </si>
  <si>
    <t xml:space="preserve">best pubs in dublin</t>
  </si>
  <si>
    <t xml:space="preserve">best food in ho chi minh city</t>
  </si>
  <si>
    <t xml:space="preserve">best brunch in savannah</t>
  </si>
  <si>
    <t xml:space="preserve">best street food in barcelona</t>
  </si>
  <si>
    <t xml:space="preserve">best rooftop bars in edinburgh</t>
  </si>
  <si>
    <t xml:space="preserve">best restaurants in seville</t>
  </si>
  <si>
    <t xml:space="preserve">things to do in ho chi minh city</t>
  </si>
  <si>
    <t xml:space="preserve">hidden gems in bali</t>
  </si>
  <si>
    <t xml:space="preserve">best beaches in sicily</t>
  </si>
  <si>
    <t xml:space="preserve">sicily</t>
  </si>
  <si>
    <t xml:space="preserve">day trips from washington dc</t>
  </si>
  <si>
    <t xml:space="preserve">washington dc</t>
  </si>
  <si>
    <t xml:space="preserve">day trips from san diego</t>
  </si>
  <si>
    <t xml:space="preserve">best street food in hanoi</t>
  </si>
  <si>
    <t xml:space="preserve">best street food in florence</t>
  </si>
  <si>
    <t xml:space="preserve">best places to eat in paris</t>
  </si>
  <si>
    <t xml:space="preserve">best food in savannah</t>
  </si>
  <si>
    <t xml:space="preserve">best food in charleston</t>
  </si>
  <si>
    <t xml:space="preserve">best brunch in bangkok</t>
  </si>
  <si>
    <t xml:space="preserve">best food in edinburgh</t>
  </si>
  <si>
    <t xml:space="preserve">best cafes in san francisco</t>
  </si>
  <si>
    <t xml:space="preserve">best cafes in miami</t>
  </si>
  <si>
    <t xml:space="preserve">day trips from seville</t>
  </si>
  <si>
    <t xml:space="preserve">best beaches in devon</t>
  </si>
  <si>
    <t xml:space="preserve">devon</t>
  </si>
  <si>
    <t xml:space="preserve">best beaches in algarve</t>
  </si>
  <si>
    <t xml:space="preserve">algarve</t>
  </si>
  <si>
    <t xml:space="preserve">best islands in greece</t>
  </si>
  <si>
    <t xml:space="preserve">best street food in vienna</t>
  </si>
  <si>
    <t xml:space="preserve">best street food in venice</t>
  </si>
  <si>
    <t xml:space="preserve">best street food in lisbon</t>
  </si>
  <si>
    <t xml:space="preserve">best rooftop bars in prague</t>
  </si>
  <si>
    <t xml:space="preserve">best restaurants in prague</t>
  </si>
  <si>
    <t xml:space="preserve">best restaurants in bangkok</t>
  </si>
  <si>
    <t xml:space="preserve">best brunch in istanbul</t>
  </si>
  <si>
    <t xml:space="preserve">best rooftop bars in chicago</t>
  </si>
  <si>
    <t xml:space="preserve">best restaurants in berlin</t>
  </si>
  <si>
    <t xml:space="preserve">best cocktail bars in london</t>
  </si>
  <si>
    <t xml:space="preserve">day trips from miami</t>
  </si>
  <si>
    <t xml:space="preserve">best beaches in vietnam</t>
  </si>
  <si>
    <t xml:space="preserve">day trips from dubrovnik</t>
  </si>
  <si>
    <t xml:space="preserve">best beaches in northumberland</t>
  </si>
  <si>
    <t xml:space="preserve">northumberland</t>
  </si>
  <si>
    <t xml:space="preserve">where to eat in paris</t>
  </si>
  <si>
    <t xml:space="preserve">day trips from seoul</t>
  </si>
  <si>
    <t xml:space="preserve">day trips from portland</t>
  </si>
  <si>
    <t xml:space="preserve">portland</t>
  </si>
  <si>
    <t xml:space="preserve">day trips from orlando</t>
  </si>
  <si>
    <t xml:space="preserve">orlando</t>
  </si>
  <si>
    <t xml:space="preserve">Reason removed</t>
  </si>
  <si>
    <t xml:space="preserve">Duplicate: existing Chicago restaurants / pizza post</t>
  </si>
  <si>
    <t xml:space="preserve">Local/resident search, not a travel listicle</t>
  </si>
  <si>
    <t xml:space="preserve">Point-to-point route or local search, not a listicle</t>
  </si>
  <si>
    <t xml:space="preserve">US+UK</t>
  </si>
  <si>
    <t xml:space="preserve">Duplicate: live post 'Top 10 Hidden Gems in the UK' (Jan 2026)</t>
  </si>
</sst>
</file>

<file path=xl/styles.xml><?xml version="1.0" encoding="utf-8"?>
<styleSheet xmlns="http://schemas.openxmlformats.org/spreadsheetml/2006/main">
  <numFmts count="6">
    <numFmt numFmtId="164" formatCode="General"/>
    <numFmt numFmtId="165" formatCode="#,##0"/>
    <numFmt numFmtId="166" formatCode="0.0"/>
    <numFmt numFmtId="167" formatCode="General"/>
    <numFmt numFmtId="168" formatCode="dd/mm/yyyy"/>
    <numFmt numFmtId="169" formatCode="0"/>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0"/>
      <color rgb="FFFFFFFF"/>
      <name val="Arial"/>
      <family val="0"/>
      <charset val="1"/>
    </font>
    <font>
      <b val="true"/>
      <sz val="10"/>
      <name val="Arial"/>
      <family val="0"/>
      <charset val="1"/>
    </font>
    <font>
      <sz val="10"/>
      <name val="Arial"/>
      <family val="0"/>
      <charset val="1"/>
    </font>
    <font>
      <b val="true"/>
      <sz val="11"/>
      <name val="Arial"/>
      <family val="0"/>
      <charset val="1"/>
    </font>
    <font>
      <sz val="9"/>
      <name val="Arial"/>
      <family val="0"/>
      <charset val="1"/>
    </font>
  </fonts>
  <fills count="6">
    <fill>
      <patternFill patternType="none"/>
    </fill>
    <fill>
      <patternFill patternType="gray125"/>
    </fill>
    <fill>
      <patternFill patternType="solid">
        <fgColor rgb="FF1F3A5F"/>
        <bgColor rgb="FF333333"/>
      </patternFill>
    </fill>
    <fill>
      <patternFill patternType="solid">
        <fgColor rgb="FF7F6000"/>
        <bgColor rgb="FF993300"/>
      </patternFill>
    </fill>
    <fill>
      <patternFill patternType="solid">
        <fgColor rgb="FFFFFBEA"/>
        <bgColor rgb="FFFFFFFF"/>
      </patternFill>
    </fill>
    <fill>
      <patternFill patternType="solid">
        <fgColor rgb="FFF2F7EE"/>
        <bgColor rgb="FFFFFBEA"/>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center" textRotation="0" wrapText="true" indent="0" shrinkToFit="false"/>
      <protection locked="true" hidden="false"/>
    </xf>
    <xf numFmtId="164" fontId="5" fillId="3"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8" fontId="7" fillId="4" borderId="1" xfId="0" applyFont="true" applyBorder="tru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64" fontId="9" fillId="5"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bgColor rgb="FFC6EFCE"/>
        </patternFill>
      </fill>
    </dxf>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FFBEA"/>
          <bgColor rgb="FF000000"/>
        </patternFill>
      </fill>
    </dxf>
    <dxf>
      <fill>
        <patternFill patternType="solid">
          <fgColor rgb="FF7F6000"/>
          <bgColor rgb="FF000000"/>
        </patternFill>
      </fill>
    </dxf>
    <dxf>
      <fill>
        <patternFill>
          <bgColor rgb="FFE2EFDA"/>
        </patternFill>
      </fill>
    </dxf>
    <dxf>
      <fill>
        <patternFill>
          <bgColor rgb="FFDDEBF7"/>
        </patternFill>
      </fill>
    </dxf>
    <dxf>
      <fill>
        <patternFill patternType="solid">
          <fgColor rgb="FFC6EFCE"/>
          <bgColor rgb="FF000000"/>
        </patternFill>
      </fill>
    </dxf>
    <dxf>
      <fill>
        <patternFill patternType="solid">
          <fgColor rgb="FFFFF2CC"/>
          <bgColor rgb="FF000000"/>
        </patternFill>
      </fill>
    </dxf>
    <dxf>
      <fill>
        <patternFill patternType="solid">
          <fgColor rgb="FFFCE4D6"/>
          <bgColor rgb="FF000000"/>
        </patternFill>
      </fill>
    </dxf>
    <dxf>
      <fill>
        <patternFill>
          <bgColor rgb="FFFFF2CC"/>
        </patternFill>
      </fill>
    </dxf>
    <dxf>
      <fill>
        <patternFill>
          <bgColor rgb="FFFCE4D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F2F7EE"/>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2EFDA"/>
      <rgbColor rgb="FFC6EFCE"/>
      <rgbColor rgb="FFFFFBEA"/>
      <rgbColor rgb="FF99CCFF"/>
      <rgbColor rgb="FFFF99CC"/>
      <rgbColor rgb="FFCC99FF"/>
      <rgbColor rgb="FFFCE4D6"/>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6" min="3" style="0" width="12"/>
  </cols>
  <sheetData>
    <row r="1" customFormat="false" ht="16.15" hidden="false" customHeight="false" outlineLevel="0" collapsed="false">
      <c r="A1" s="1" t="s">
        <v>0</v>
      </c>
    </row>
    <row r="3" customFormat="false" ht="15" hidden="false" customHeight="false" outlineLevel="0" collapsed="false">
      <c r="A3" s="2"/>
      <c r="B3" s="2" t="s">
        <v>1</v>
      </c>
      <c r="C3" s="2" t="s">
        <v>2</v>
      </c>
      <c r="D3" s="2" t="s">
        <v>3</v>
      </c>
      <c r="E3" s="2" t="s">
        <v>4</v>
      </c>
      <c r="F3" s="2" t="s">
        <v>5</v>
      </c>
    </row>
    <row r="4" customFormat="false" ht="15" hidden="false" customHeight="false" outlineLevel="0" collapsed="false">
      <c r="A4" s="3" t="s">
        <v>6</v>
      </c>
      <c r="B4" s="4" t="n">
        <f aca="false">COUNTIFS('Post Plan'!$A$2:$A$348,"&gt;0")</f>
        <v>347</v>
      </c>
      <c r="C4" s="4" t="n">
        <f aca="false">COUNTIFS('Post Plan'!$A$2:$A$348,"&gt;0",'Post Plan'!$B$2:$B$348,"Wave 1")</f>
        <v>100</v>
      </c>
      <c r="D4" s="4" t="n">
        <f aca="false">COUNTIFS('Post Plan'!$A$2:$A$348,"&gt;0",'Post Plan'!$B$2:$B$348,"Wave 2")</f>
        <v>100</v>
      </c>
      <c r="E4" s="4" t="n">
        <f aca="false">COUNTIFS('Post Plan'!$A$2:$A$348,"&gt;0",'Post Plan'!$B$2:$B$348,"Wave 3")</f>
        <v>100</v>
      </c>
      <c r="F4" s="4" t="n">
        <f aca="false">COUNTIFS('Post Plan'!$A$2:$A$348,"&gt;0",'Post Plan'!$B$2:$B$348,"Wave 4")</f>
        <v>47</v>
      </c>
    </row>
    <row r="5" customFormat="false" ht="15" hidden="false" customHeight="false" outlineLevel="0" collapsed="false">
      <c r="A5" s="3" t="s">
        <v>7</v>
      </c>
      <c r="B5" s="4" t="n">
        <f aca="false">COUNTIFS('Post Plan'!$E$2:$E$348,"Food &amp; drink")</f>
        <v>218</v>
      </c>
      <c r="C5" s="4" t="n">
        <f aca="false">COUNTIFS('Post Plan'!$E$2:$E$348,"Food &amp; drink",'Post Plan'!$B$2:$B$348,"Wave 1")</f>
        <v>60</v>
      </c>
      <c r="D5" s="4" t="n">
        <f aca="false">COUNTIFS('Post Plan'!$E$2:$E$348,"Food &amp; drink",'Post Plan'!$B$2:$B$348,"Wave 2")</f>
        <v>62</v>
      </c>
      <c r="E5" s="4" t="n">
        <f aca="false">COUNTIFS('Post Plan'!$E$2:$E$348,"Food &amp; drink",'Post Plan'!$B$2:$B$348,"Wave 3")</f>
        <v>67</v>
      </c>
      <c r="F5" s="4" t="n">
        <f aca="false">COUNTIFS('Post Plan'!$E$2:$E$348,"Food &amp; drink",'Post Plan'!$B$2:$B$348,"Wave 4")</f>
        <v>29</v>
      </c>
    </row>
    <row r="6" customFormat="false" ht="15" hidden="false" customHeight="false" outlineLevel="0" collapsed="false">
      <c r="A6" s="3" t="s">
        <v>8</v>
      </c>
      <c r="B6" s="4" t="n">
        <f aca="false">COUNTIFS('Post Plan'!$E$2:$E$348,"Place")</f>
        <v>129</v>
      </c>
      <c r="C6" s="4" t="n">
        <f aca="false">COUNTIFS('Post Plan'!$E$2:$E$348,"Place",'Post Plan'!$B$2:$B$348,"Wave 1")</f>
        <v>40</v>
      </c>
      <c r="D6" s="4" t="n">
        <f aca="false">COUNTIFS('Post Plan'!$E$2:$E$348,"Place",'Post Plan'!$B$2:$B$348,"Wave 2")</f>
        <v>38</v>
      </c>
      <c r="E6" s="4" t="n">
        <f aca="false">COUNTIFS('Post Plan'!$E$2:$E$348,"Place",'Post Plan'!$B$2:$B$348,"Wave 3")</f>
        <v>33</v>
      </c>
      <c r="F6" s="4" t="n">
        <f aca="false">COUNTIFS('Post Plan'!$E$2:$E$348,"Place",'Post Plan'!$B$2:$B$348,"Wave 4")</f>
        <v>18</v>
      </c>
    </row>
    <row r="7" customFormat="false" ht="15" hidden="false" customHeight="false" outlineLevel="0" collapsed="false">
      <c r="A7" s="3" t="s">
        <v>9</v>
      </c>
      <c r="B7" s="4" t="n">
        <f aca="false">COUNTIFS('Post Plan'!$P$2:$P$348,"Quick win")</f>
        <v>195</v>
      </c>
      <c r="C7" s="4" t="n">
        <f aca="false">COUNTIFS('Post Plan'!$P$2:$P$348,"Quick win",'Post Plan'!$B$2:$B$348,"Wave 1")</f>
        <v>75</v>
      </c>
      <c r="D7" s="4" t="n">
        <f aca="false">COUNTIFS('Post Plan'!$P$2:$P$348,"Quick win",'Post Plan'!$B$2:$B$348,"Wave 2")</f>
        <v>49</v>
      </c>
      <c r="E7" s="4" t="n">
        <f aca="false">COUNTIFS('Post Plan'!$P$2:$P$348,"Quick win",'Post Plan'!$B$2:$B$348,"Wave 3")</f>
        <v>61</v>
      </c>
      <c r="F7" s="4" t="n">
        <f aca="false">COUNTIFS('Post Plan'!$P$2:$P$348,"Quick win",'Post Plan'!$B$2:$B$348,"Wave 4")</f>
        <v>10</v>
      </c>
    </row>
    <row r="8" customFormat="false" ht="15" hidden="false" customHeight="false" outlineLevel="0" collapsed="false">
      <c r="A8" s="3" t="s">
        <v>10</v>
      </c>
      <c r="B8" s="4" t="n">
        <f aca="false">SUMIFS('Post Plan'!$M$2:$M$348,'Post Plan'!$A$2:$A$348,"&gt;0")</f>
        <v>172180</v>
      </c>
      <c r="C8" s="4" t="n">
        <f aca="false">SUMIFS('Post Plan'!$M$2:$M$348,'Post Plan'!$A$2:$A$348,"&gt;0",'Post Plan'!$B$2:$B$348,"Wave 1")</f>
        <v>91160</v>
      </c>
      <c r="D8" s="4" t="n">
        <f aca="false">SUMIFS('Post Plan'!$M$2:$M$348,'Post Plan'!$A$2:$A$348,"&gt;0",'Post Plan'!$B$2:$B$348,"Wave 2")</f>
        <v>47850</v>
      </c>
      <c r="E8" s="4" t="n">
        <f aca="false">SUMIFS('Post Plan'!$M$2:$M$348,'Post Plan'!$A$2:$A$348,"&gt;0",'Post Plan'!$B$2:$B$348,"Wave 3")</f>
        <v>23480</v>
      </c>
      <c r="F8" s="4" t="n">
        <f aca="false">SUMIFS('Post Plan'!$M$2:$M$348,'Post Plan'!$A$2:$A$348,"&gt;0",'Post Plan'!$B$2:$B$348,"Wave 4")</f>
        <v>9690</v>
      </c>
    </row>
    <row r="9" customFormat="false" ht="15" hidden="false" customHeight="false" outlineLevel="0" collapsed="false">
      <c r="A9" s="3" t="s">
        <v>11</v>
      </c>
      <c r="B9" s="5" t="n">
        <f aca="false">AVERAGEIFS('Post Plan'!$N$2:$N$348,'Post Plan'!$A$2:$A$348,"&gt;0")</f>
        <v>10.9835734870317</v>
      </c>
      <c r="C9" s="5" t="n">
        <f aca="false">AVERAGEIFS('Post Plan'!$N$2:$N$348,'Post Plan'!$A$2:$A$348,"&gt;0",'Post Plan'!$B$2:$B$348,"Wave 1")</f>
        <v>8.554</v>
      </c>
      <c r="D9" s="5" t="n">
        <f aca="false">AVERAGEIFS('Post Plan'!$N$2:$N$348,'Post Plan'!$A$2:$A$348,"&gt;0",'Post Plan'!$B$2:$B$348,"Wave 2")</f>
        <v>10.969</v>
      </c>
      <c r="E9" s="5" t="n">
        <f aca="false">AVERAGEIFS('Post Plan'!$N$2:$N$348,'Post Plan'!$A$2:$A$348,"&gt;0",'Post Plan'!$B$2:$B$348,"Wave 3")</f>
        <v>10.907</v>
      </c>
      <c r="F9" s="5" t="n">
        <f aca="false">AVERAGEIFS('Post Plan'!$N$2:$N$348,'Post Plan'!$A$2:$A$348,"&gt;0",'Post Plan'!$B$2:$B$348,"Wave 4")</f>
        <v>16.3468085106383</v>
      </c>
    </row>
    <row r="10" customFormat="false" ht="15" hidden="false" customHeight="false" outlineLevel="0" collapsed="false">
      <c r="A10" s="3" t="s">
        <v>12</v>
      </c>
      <c r="B10" s="4" t="n">
        <f aca="false">COUNTIFS('Post Plan'!$U$2:$U$348,"?*")</f>
        <v>40</v>
      </c>
      <c r="C10" s="4" t="n">
        <f aca="false">COUNTIFS('Post Plan'!$U$2:$U$348,"?*",'Post Plan'!$B$2:$B$348,"Wave 1")</f>
        <v>21</v>
      </c>
      <c r="D10" s="4" t="n">
        <f aca="false">COUNTIFS('Post Plan'!$U$2:$U$348,"?*",'Post Plan'!$B$2:$B$348,"Wave 2")</f>
        <v>7</v>
      </c>
      <c r="E10" s="4" t="n">
        <f aca="false">COUNTIFS('Post Plan'!$U$2:$U$348,"?*",'Post Plan'!$B$2:$B$348,"Wave 3")</f>
        <v>2</v>
      </c>
      <c r="F10" s="4" t="n">
        <f aca="false">COUNTIFS('Post Plan'!$U$2:$U$348,"?*",'Post Plan'!$B$2:$B$348,"Wave 4")</f>
        <v>10</v>
      </c>
    </row>
    <row r="11" customFormat="false" ht="15" hidden="false" customHeight="false" outlineLevel="0" collapsed="false">
      <c r="A11" s="3" t="s">
        <v>13</v>
      </c>
      <c r="B11" s="4" t="n">
        <f aca="false">COUNTIFS('Post Plan'!$V$2:$V$348,"Published")</f>
        <v>0</v>
      </c>
      <c r="C11" s="4" t="n">
        <f aca="false">COUNTIFS('Post Plan'!$V$2:$V$348,"Published",'Post Plan'!$B$2:$B$348,"Wave 1")</f>
        <v>0</v>
      </c>
      <c r="D11" s="4" t="n">
        <f aca="false">COUNTIFS('Post Plan'!$V$2:$V$348,"Published",'Post Plan'!$B$2:$B$348,"Wave 2")</f>
        <v>0</v>
      </c>
      <c r="E11" s="4" t="n">
        <f aca="false">COUNTIFS('Post Plan'!$V$2:$V$348,"Published",'Post Plan'!$B$2:$B$348,"Wave 3")</f>
        <v>0</v>
      </c>
      <c r="F11" s="4" t="n">
        <f aca="false">COUNTIFS('Post Plan'!$V$2:$V$348,"Published",'Post Plan'!$B$2:$B$348,"Wave 4")</f>
        <v>0</v>
      </c>
    </row>
    <row r="13" customFormat="false" ht="15" hidden="false" customHeight="false" outlineLevel="0" collapsed="false">
      <c r="A13" s="3" t="s">
        <v>14</v>
      </c>
      <c r="B13" s="6" t="n">
        <f aca="false">COUNTA('Content Plan (Pillars)'!B2:B68)</f>
        <v>67</v>
      </c>
    </row>
    <row r="14" customFormat="false" ht="15" hidden="false" customHeight="false" outlineLevel="0" collapsed="false">
      <c r="A14" s="6" t="s">
        <v>15</v>
      </c>
      <c r="B14" s="6" t="n">
        <f aca="false">COUNTIF('Content Plan (Pillars)'!C2:C68,"City hub")</f>
        <v>40</v>
      </c>
    </row>
    <row r="15" customFormat="false" ht="15" hidden="false" customHeight="false" outlineLevel="0" collapsed="false">
      <c r="A15" s="6" t="s">
        <v>16</v>
      </c>
      <c r="B15" s="6" t="n">
        <f aca="false">COUNTIF('Content Plan (Pillars)'!C2:C68,"Country hub")</f>
        <v>22</v>
      </c>
    </row>
    <row r="16" customFormat="false" ht="15" hidden="false" customHeight="false" outlineLevel="0" collapsed="false">
      <c r="A16" s="6" t="s">
        <v>17</v>
      </c>
      <c r="B16" s="6" t="n">
        <f aca="false">COUNTIF('Content Plan (Pillars)'!C2:C68,"Region hub")</f>
        <v>5</v>
      </c>
    </row>
    <row r="17" customFormat="false" ht="15" hidden="false" customHeight="false" outlineLevel="0" collapsed="false">
      <c r="A17" s="6" t="s">
        <v>18</v>
      </c>
      <c r="B17" s="6" t="n">
        <f aca="false">COUNTIF('Content Plan (Pillars)'!F2:F68,"Existing*")</f>
        <v>15</v>
      </c>
    </row>
    <row r="19" customFormat="false" ht="15" hidden="false" customHeight="false" outlineLevel="0" collapsed="false">
      <c r="A19" s="7" t="s">
        <v>19</v>
      </c>
    </row>
    <row r="20" customFormat="false" ht="43.5" hidden="false" customHeight="true" outlineLevel="0" collapsed="false">
      <c r="A20" s="8" t="s">
        <v>20</v>
      </c>
      <c r="B20" s="8"/>
      <c r="C20" s="8"/>
      <c r="D20" s="8"/>
      <c r="E20" s="8"/>
      <c r="F20" s="8"/>
    </row>
    <row r="21" customFormat="false" ht="43.5" hidden="false" customHeight="true" outlineLevel="0" collapsed="false">
      <c r="A21" s="8" t="s">
        <v>21</v>
      </c>
      <c r="B21" s="8"/>
      <c r="C21" s="8"/>
      <c r="D21" s="8"/>
      <c r="E21" s="8"/>
      <c r="F21" s="8"/>
    </row>
    <row r="22" customFormat="false" ht="43.5" hidden="false" customHeight="true" outlineLevel="0" collapsed="false">
      <c r="A22" s="8" t="s">
        <v>22</v>
      </c>
      <c r="B22" s="8"/>
      <c r="C22" s="8"/>
      <c r="D22" s="8"/>
      <c r="E22" s="8"/>
      <c r="F22" s="8"/>
    </row>
    <row r="23" customFormat="false" ht="43.5" hidden="false" customHeight="true" outlineLevel="0" collapsed="false">
      <c r="A23" s="8" t="s">
        <v>23</v>
      </c>
      <c r="B23" s="8"/>
      <c r="C23" s="8"/>
      <c r="D23" s="8"/>
      <c r="E23" s="8"/>
      <c r="F23" s="8"/>
    </row>
    <row r="24" customFormat="false" ht="43.5" hidden="false" customHeight="true" outlineLevel="0" collapsed="false">
      <c r="A24" s="8" t="s">
        <v>24</v>
      </c>
      <c r="B24" s="8"/>
      <c r="C24" s="8"/>
      <c r="D24" s="8"/>
      <c r="E24" s="8"/>
      <c r="F24" s="8"/>
    </row>
    <row r="25" customFormat="false" ht="43.5" hidden="false" customHeight="true" outlineLevel="0" collapsed="false">
      <c r="A25" s="8" t="s">
        <v>25</v>
      </c>
      <c r="B25" s="8"/>
      <c r="C25" s="8"/>
      <c r="D25" s="8"/>
      <c r="E25" s="8"/>
      <c r="F25" s="8"/>
    </row>
    <row r="26" customFormat="false" ht="43.5" hidden="false" customHeight="true" outlineLevel="0" collapsed="false">
      <c r="A26" s="8" t="s">
        <v>26</v>
      </c>
      <c r="B26" s="8"/>
      <c r="C26" s="8"/>
      <c r="D26" s="8"/>
      <c r="E26" s="8"/>
      <c r="F26" s="8"/>
    </row>
    <row r="27" customFormat="false" ht="43.5" hidden="false" customHeight="true" outlineLevel="0" collapsed="false">
      <c r="A27" s="8" t="s">
        <v>27</v>
      </c>
      <c r="B27" s="8"/>
      <c r="C27" s="8"/>
      <c r="D27" s="8"/>
      <c r="E27" s="8"/>
      <c r="F27" s="8"/>
    </row>
    <row r="28" customFormat="false" ht="43.5" hidden="false" customHeight="true" outlineLevel="0" collapsed="false">
      <c r="A28" s="8" t="s">
        <v>28</v>
      </c>
      <c r="B28" s="8"/>
      <c r="C28" s="8"/>
      <c r="D28" s="8"/>
      <c r="E28" s="8"/>
      <c r="F28" s="8"/>
    </row>
  </sheetData>
  <mergeCells count="9">
    <mergeCell ref="A20:F20"/>
    <mergeCell ref="A21:F21"/>
    <mergeCell ref="A22:F22"/>
    <mergeCell ref="A23:F23"/>
    <mergeCell ref="A24:F24"/>
    <mergeCell ref="A25:F25"/>
    <mergeCell ref="A26:F26"/>
    <mergeCell ref="A27:F27"/>
    <mergeCell ref="A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6"/>
    <col collapsed="false" customWidth="true" hidden="false" outlineLevel="0" max="3" min="3" style="0" width="30"/>
    <col collapsed="false" customWidth="true" hidden="false" outlineLevel="0" max="4" min="4" style="0" width="28"/>
    <col collapsed="false" customWidth="true" hidden="false" outlineLevel="0" max="5" min="5" style="0" width="10"/>
    <col collapsed="false" customWidth="true" hidden="false" outlineLevel="0" max="6" min="6" style="0" width="6"/>
    <col collapsed="false" customWidth="true" hidden="false" outlineLevel="0" max="7" min="7" style="0" width="12"/>
    <col collapsed="false" customWidth="true" hidden="false" outlineLevel="0" max="8" min="8" style="0" width="14"/>
    <col collapsed="false" customWidth="true" hidden="false" outlineLevel="0" max="9" min="9" style="0" width="40"/>
    <col collapsed="false" customWidth="true" hidden="false" outlineLevel="0" max="10" min="10" style="0" width="60"/>
    <col collapsed="false" customWidth="true" hidden="false" outlineLevel="0" max="11" min="11" style="0" width="40"/>
    <col collapsed="false" customWidth="true" hidden="false" outlineLevel="0" max="12" min="12" style="0" width="60"/>
    <col collapsed="false" customWidth="true" hidden="false" outlineLevel="0" max="13" min="13" style="0" width="46"/>
    <col collapsed="false" customWidth="true" hidden="false" outlineLevel="0" max="16" min="14" style="0" width="9"/>
    <col collapsed="false" customWidth="true" hidden="false" outlineLevel="0" max="17" min="17" style="0" width="6"/>
    <col collapsed="false" customWidth="true" hidden="false" outlineLevel="0" max="18" min="18" style="0" width="13"/>
    <col collapsed="false" customWidth="true" hidden="false" outlineLevel="0" max="19" min="19" style="0" width="12"/>
    <col collapsed="false" customWidth="true" hidden="false" outlineLevel="0" max="21" min="20" style="0" width="10"/>
    <col collapsed="false" customWidth="true" hidden="false" outlineLevel="0" max="22" min="22" style="0" width="12"/>
    <col collapsed="false" customWidth="true" hidden="false" outlineLevel="0" max="23" min="23" style="0" width="30"/>
  </cols>
  <sheetData>
    <row r="1" customFormat="false" ht="33.75" hidden="false" customHeight="true" outlineLevel="0" collapsed="false">
      <c r="A1" s="9" t="s">
        <v>29</v>
      </c>
      <c r="B1" s="9" t="s">
        <v>30</v>
      </c>
      <c r="C1" s="9" t="s">
        <v>31</v>
      </c>
      <c r="D1" s="9" t="s">
        <v>32</v>
      </c>
      <c r="E1" s="9" t="s">
        <v>33</v>
      </c>
      <c r="F1" s="9" t="s">
        <v>34</v>
      </c>
      <c r="G1" s="9" t="s">
        <v>35</v>
      </c>
      <c r="H1" s="9" t="s">
        <v>36</v>
      </c>
      <c r="I1" s="9" t="s">
        <v>37</v>
      </c>
      <c r="J1" s="9" t="s">
        <v>38</v>
      </c>
      <c r="K1" s="9" t="s">
        <v>39</v>
      </c>
      <c r="L1" s="9" t="s">
        <v>40</v>
      </c>
      <c r="M1" s="9" t="s">
        <v>41</v>
      </c>
      <c r="N1" s="9" t="s">
        <v>42</v>
      </c>
      <c r="O1" s="9" t="s">
        <v>43</v>
      </c>
      <c r="P1" s="9" t="s">
        <v>44</v>
      </c>
      <c r="Q1" s="9" t="s">
        <v>45</v>
      </c>
      <c r="R1" s="10" t="s">
        <v>46</v>
      </c>
      <c r="S1" s="10" t="s">
        <v>47</v>
      </c>
      <c r="T1" s="10" t="s">
        <v>48</v>
      </c>
      <c r="U1" s="10" t="s">
        <v>49</v>
      </c>
      <c r="V1" s="10" t="s">
        <v>50</v>
      </c>
      <c r="W1" s="10" t="s">
        <v>51</v>
      </c>
    </row>
    <row r="2" customFormat="false" ht="120" hidden="false" customHeight="true" outlineLevel="0" collapsed="false">
      <c r="A2" s="11" t="n">
        <v>1</v>
      </c>
      <c r="B2" s="12" t="s">
        <v>52</v>
      </c>
      <c r="C2" s="11" t="s">
        <v>53</v>
      </c>
      <c r="D2" s="11" t="s">
        <v>54</v>
      </c>
      <c r="E2" s="13" t="n">
        <v>2210</v>
      </c>
      <c r="F2" s="11" t="n">
        <v>6.3</v>
      </c>
      <c r="G2" s="11" t="s">
        <v>55</v>
      </c>
      <c r="H2" s="11" t="s">
        <v>56</v>
      </c>
      <c r="I2" s="12" t="s">
        <v>57</v>
      </c>
      <c r="J2" s="12" t="s">
        <v>58</v>
      </c>
      <c r="K2" s="12" t="s">
        <v>59</v>
      </c>
      <c r="L2" s="12" t="s">
        <v>60</v>
      </c>
      <c r="M2" s="12" t="s">
        <v>61</v>
      </c>
      <c r="N2" s="11" t="s">
        <v>62</v>
      </c>
      <c r="O2" s="11" t="n">
        <v>10</v>
      </c>
      <c r="P2" s="11" t="n">
        <v>10</v>
      </c>
      <c r="Q2" s="11" t="s">
        <v>63</v>
      </c>
      <c r="R2" s="14" t="s">
        <v>64</v>
      </c>
      <c r="S2" s="15"/>
      <c r="T2" s="14" t="s">
        <v>65</v>
      </c>
      <c r="U2" s="14" t="s">
        <v>66</v>
      </c>
      <c r="V2" s="14" t="s">
        <v>66</v>
      </c>
      <c r="W2" s="14"/>
    </row>
    <row r="3" customFormat="false" ht="120" hidden="false" customHeight="true" outlineLevel="0" collapsed="false">
      <c r="A3" s="11" t="n">
        <v>2</v>
      </c>
      <c r="B3" s="12" t="s">
        <v>67</v>
      </c>
      <c r="C3" s="11" t="s">
        <v>68</v>
      </c>
      <c r="D3" s="11" t="s">
        <v>69</v>
      </c>
      <c r="E3" s="13" t="n">
        <v>2210</v>
      </c>
      <c r="F3" s="11" t="n">
        <v>7.8</v>
      </c>
      <c r="G3" s="11" t="s">
        <v>70</v>
      </c>
      <c r="H3" s="11" t="s">
        <v>71</v>
      </c>
      <c r="I3" s="12" t="s">
        <v>72</v>
      </c>
      <c r="J3" s="12" t="s">
        <v>73</v>
      </c>
      <c r="K3" s="12" t="s">
        <v>74</v>
      </c>
      <c r="L3" s="12" t="s">
        <v>75</v>
      </c>
      <c r="M3" s="12" t="s">
        <v>76</v>
      </c>
      <c r="N3" s="11" t="s">
        <v>62</v>
      </c>
      <c r="O3" s="11" t="n">
        <v>10</v>
      </c>
      <c r="P3" s="11" t="n">
        <v>10</v>
      </c>
      <c r="Q3" s="11" t="s">
        <v>63</v>
      </c>
      <c r="R3" s="14" t="s">
        <v>64</v>
      </c>
      <c r="S3" s="15"/>
      <c r="T3" s="14" t="s">
        <v>66</v>
      </c>
      <c r="U3" s="14" t="s">
        <v>66</v>
      </c>
      <c r="V3" s="14" t="s">
        <v>66</v>
      </c>
      <c r="W3" s="14"/>
    </row>
    <row r="4" customFormat="false" ht="120" hidden="false" customHeight="true" outlineLevel="0" collapsed="false">
      <c r="A4" s="11" t="n">
        <v>3</v>
      </c>
      <c r="B4" s="12" t="s">
        <v>77</v>
      </c>
      <c r="C4" s="11" t="s">
        <v>78</v>
      </c>
      <c r="D4" s="11" t="s">
        <v>79</v>
      </c>
      <c r="E4" s="13" t="n">
        <v>1630</v>
      </c>
      <c r="F4" s="11" t="n">
        <v>5.9</v>
      </c>
      <c r="G4" s="11" t="s">
        <v>80</v>
      </c>
      <c r="H4" s="11" t="s">
        <v>56</v>
      </c>
      <c r="I4" s="12" t="s">
        <v>81</v>
      </c>
      <c r="J4" s="12" t="s">
        <v>82</v>
      </c>
      <c r="K4" s="12" t="s">
        <v>83</v>
      </c>
      <c r="L4" s="12" t="s">
        <v>84</v>
      </c>
      <c r="M4" s="12" t="s">
        <v>85</v>
      </c>
      <c r="N4" s="11" t="s">
        <v>62</v>
      </c>
      <c r="O4" s="11" t="n">
        <v>10</v>
      </c>
      <c r="P4" s="11" t="n">
        <v>10</v>
      </c>
      <c r="Q4" s="11" t="s">
        <v>63</v>
      </c>
      <c r="R4" s="14" t="s">
        <v>64</v>
      </c>
      <c r="S4" s="15"/>
      <c r="T4" s="14" t="s">
        <v>66</v>
      </c>
      <c r="U4" s="14" t="s">
        <v>66</v>
      </c>
      <c r="V4" s="14" t="s">
        <v>66</v>
      </c>
      <c r="W4" s="14"/>
    </row>
    <row r="5" customFormat="false" ht="120" hidden="false" customHeight="true" outlineLevel="0" collapsed="false">
      <c r="A5" s="11" t="n">
        <v>4</v>
      </c>
      <c r="B5" s="12" t="s">
        <v>86</v>
      </c>
      <c r="C5" s="11" t="s">
        <v>87</v>
      </c>
      <c r="D5" s="11" t="s">
        <v>88</v>
      </c>
      <c r="E5" s="13" t="n">
        <v>1400</v>
      </c>
      <c r="F5" s="11" t="n">
        <v>6</v>
      </c>
      <c r="G5" s="11" t="s">
        <v>89</v>
      </c>
      <c r="H5" s="11" t="s">
        <v>56</v>
      </c>
      <c r="I5" s="12" t="s">
        <v>90</v>
      </c>
      <c r="J5" s="12" t="s">
        <v>91</v>
      </c>
      <c r="K5" s="12" t="s">
        <v>92</v>
      </c>
      <c r="L5" s="12" t="s">
        <v>93</v>
      </c>
      <c r="M5" s="12" t="s">
        <v>94</v>
      </c>
      <c r="N5" s="11" t="s">
        <v>62</v>
      </c>
      <c r="O5" s="11" t="n">
        <v>10</v>
      </c>
      <c r="P5" s="11" t="n">
        <v>10</v>
      </c>
      <c r="Q5" s="11" t="s">
        <v>63</v>
      </c>
      <c r="R5" s="14" t="s">
        <v>64</v>
      </c>
      <c r="S5" s="15"/>
      <c r="T5" s="14" t="s">
        <v>66</v>
      </c>
      <c r="U5" s="14" t="s">
        <v>66</v>
      </c>
      <c r="V5" s="14" t="s">
        <v>66</v>
      </c>
      <c r="W5" s="14"/>
    </row>
    <row r="6" customFormat="false" ht="120" hidden="false" customHeight="true" outlineLevel="0" collapsed="false">
      <c r="A6" s="11" t="n">
        <v>6</v>
      </c>
      <c r="B6" s="12" t="s">
        <v>95</v>
      </c>
      <c r="C6" s="11" t="s">
        <v>96</v>
      </c>
      <c r="D6" s="11" t="s">
        <v>97</v>
      </c>
      <c r="E6" s="13" t="n">
        <v>1240</v>
      </c>
      <c r="F6" s="11" t="n">
        <v>6.2</v>
      </c>
      <c r="G6" s="11" t="s">
        <v>89</v>
      </c>
      <c r="H6" s="11" t="s">
        <v>71</v>
      </c>
      <c r="I6" s="12" t="s">
        <v>98</v>
      </c>
      <c r="J6" s="12" t="s">
        <v>99</v>
      </c>
      <c r="K6" s="12" t="s">
        <v>100</v>
      </c>
      <c r="L6" s="12" t="s">
        <v>101</v>
      </c>
      <c r="M6" s="12" t="s">
        <v>102</v>
      </c>
      <c r="N6" s="11" t="s">
        <v>62</v>
      </c>
      <c r="O6" s="11" t="n">
        <v>10</v>
      </c>
      <c r="P6" s="11" t="n">
        <v>10</v>
      </c>
      <c r="Q6" s="11" t="s">
        <v>63</v>
      </c>
      <c r="R6" s="14" t="s">
        <v>64</v>
      </c>
      <c r="S6" s="15"/>
      <c r="T6" s="14" t="s">
        <v>66</v>
      </c>
      <c r="U6" s="14" t="s">
        <v>66</v>
      </c>
      <c r="V6" s="14" t="s">
        <v>66</v>
      </c>
      <c r="W6" s="14"/>
    </row>
    <row r="7" customFormat="false" ht="120" hidden="false" customHeight="true" outlineLevel="0" collapsed="false">
      <c r="A7" s="11" t="n">
        <v>7</v>
      </c>
      <c r="B7" s="12" t="s">
        <v>103</v>
      </c>
      <c r="C7" s="11" t="s">
        <v>104</v>
      </c>
      <c r="D7" s="11" t="s">
        <v>105</v>
      </c>
      <c r="E7" s="13" t="n">
        <v>1330</v>
      </c>
      <c r="F7" s="11" t="n">
        <v>7.4</v>
      </c>
      <c r="G7" s="11" t="s">
        <v>106</v>
      </c>
      <c r="H7" s="11" t="s">
        <v>56</v>
      </c>
      <c r="I7" s="12" t="s">
        <v>107</v>
      </c>
      <c r="J7" s="12" t="s">
        <v>108</v>
      </c>
      <c r="K7" s="12" t="s">
        <v>109</v>
      </c>
      <c r="L7" s="12" t="s">
        <v>110</v>
      </c>
      <c r="M7" s="12" t="s">
        <v>111</v>
      </c>
      <c r="N7" s="11" t="s">
        <v>62</v>
      </c>
      <c r="O7" s="11" t="n">
        <v>10</v>
      </c>
      <c r="P7" s="11" t="n">
        <v>10</v>
      </c>
      <c r="Q7" s="11" t="s">
        <v>63</v>
      </c>
      <c r="R7" s="14" t="s">
        <v>64</v>
      </c>
      <c r="S7" s="15"/>
      <c r="T7" s="14" t="s">
        <v>66</v>
      </c>
      <c r="U7" s="14" t="s">
        <v>66</v>
      </c>
      <c r="V7" s="14" t="s">
        <v>66</v>
      </c>
      <c r="W7" s="14"/>
    </row>
    <row r="8" customFormat="false" ht="120" hidden="false" customHeight="true" outlineLevel="0" collapsed="false">
      <c r="A8" s="11" t="n">
        <v>15</v>
      </c>
      <c r="B8" s="12" t="s">
        <v>112</v>
      </c>
      <c r="C8" s="11" t="s">
        <v>113</v>
      </c>
      <c r="D8" s="11" t="s">
        <v>114</v>
      </c>
      <c r="E8" s="13" t="n">
        <v>1070</v>
      </c>
      <c r="F8" s="11" t="n">
        <v>6</v>
      </c>
      <c r="G8" s="11" t="s">
        <v>115</v>
      </c>
      <c r="H8" s="11" t="s">
        <v>56</v>
      </c>
      <c r="I8" s="12" t="s">
        <v>116</v>
      </c>
      <c r="J8" s="12" t="s">
        <v>117</v>
      </c>
      <c r="K8" s="12" t="s">
        <v>118</v>
      </c>
      <c r="L8" s="12" t="s">
        <v>119</v>
      </c>
      <c r="M8" s="12" t="s">
        <v>120</v>
      </c>
      <c r="N8" s="11" t="s">
        <v>62</v>
      </c>
      <c r="O8" s="11" t="n">
        <v>10</v>
      </c>
      <c r="P8" s="11" t="n">
        <v>10</v>
      </c>
      <c r="Q8" s="11" t="s">
        <v>63</v>
      </c>
      <c r="R8" s="14" t="s">
        <v>64</v>
      </c>
      <c r="S8" s="15"/>
      <c r="T8" s="14" t="s">
        <v>66</v>
      </c>
      <c r="U8" s="14" t="s">
        <v>66</v>
      </c>
      <c r="V8" s="14" t="s">
        <v>66</v>
      </c>
      <c r="W8" s="14"/>
    </row>
    <row r="9" customFormat="false" ht="120" hidden="false" customHeight="true" outlineLevel="0" collapsed="false">
      <c r="A9" s="11" t="n">
        <v>16</v>
      </c>
      <c r="B9" s="12" t="s">
        <v>121</v>
      </c>
      <c r="C9" s="11" t="s">
        <v>122</v>
      </c>
      <c r="D9" s="11" t="s">
        <v>123</v>
      </c>
      <c r="E9" s="13" t="n">
        <v>1190</v>
      </c>
      <c r="F9" s="11" t="n">
        <v>7.8</v>
      </c>
      <c r="G9" s="11" t="s">
        <v>124</v>
      </c>
      <c r="H9" s="11" t="s">
        <v>71</v>
      </c>
      <c r="I9" s="12" t="s">
        <v>125</v>
      </c>
      <c r="J9" s="12" t="s">
        <v>126</v>
      </c>
      <c r="K9" s="12" t="s">
        <v>127</v>
      </c>
      <c r="L9" s="12" t="s">
        <v>128</v>
      </c>
      <c r="M9" s="12" t="s">
        <v>129</v>
      </c>
      <c r="N9" s="11" t="s">
        <v>62</v>
      </c>
      <c r="O9" s="11" t="n">
        <v>10</v>
      </c>
      <c r="P9" s="11" t="n">
        <v>10</v>
      </c>
      <c r="Q9" s="11" t="s">
        <v>63</v>
      </c>
      <c r="R9" s="14" t="s">
        <v>64</v>
      </c>
      <c r="S9" s="15"/>
      <c r="T9" s="14" t="s">
        <v>66</v>
      </c>
      <c r="U9" s="14" t="s">
        <v>66</v>
      </c>
      <c r="V9" s="14" t="s">
        <v>66</v>
      </c>
      <c r="W9" s="14"/>
    </row>
    <row r="10" customFormat="false" ht="120" hidden="false" customHeight="true" outlineLevel="0" collapsed="false">
      <c r="A10" s="11" t="n">
        <v>17</v>
      </c>
      <c r="B10" s="12" t="s">
        <v>130</v>
      </c>
      <c r="C10" s="11" t="s">
        <v>131</v>
      </c>
      <c r="D10" s="11" t="s">
        <v>132</v>
      </c>
      <c r="E10" s="13" t="n">
        <v>1110</v>
      </c>
      <c r="F10" s="11" t="n">
        <v>6.9</v>
      </c>
      <c r="G10" s="11" t="s">
        <v>133</v>
      </c>
      <c r="H10" s="11" t="s">
        <v>71</v>
      </c>
      <c r="I10" s="12" t="s">
        <v>134</v>
      </c>
      <c r="J10" s="12" t="s">
        <v>135</v>
      </c>
      <c r="K10" s="12" t="s">
        <v>136</v>
      </c>
      <c r="L10" s="12" t="s">
        <v>137</v>
      </c>
      <c r="M10" s="12" t="s">
        <v>138</v>
      </c>
      <c r="N10" s="11" t="s">
        <v>62</v>
      </c>
      <c r="O10" s="11" t="n">
        <v>10</v>
      </c>
      <c r="P10" s="11" t="n">
        <v>10</v>
      </c>
      <c r="Q10" s="11" t="s">
        <v>63</v>
      </c>
      <c r="R10" s="14" t="s">
        <v>64</v>
      </c>
      <c r="S10" s="15"/>
      <c r="T10" s="14" t="s">
        <v>66</v>
      </c>
      <c r="U10" s="14" t="s">
        <v>66</v>
      </c>
      <c r="V10" s="14" t="s">
        <v>66</v>
      </c>
      <c r="W10" s="14"/>
    </row>
    <row r="11" customFormat="false" ht="120" hidden="false" customHeight="true" outlineLevel="0" collapsed="false">
      <c r="A11" s="11" t="n">
        <v>27</v>
      </c>
      <c r="B11" s="12" t="s">
        <v>139</v>
      </c>
      <c r="C11" s="11" t="s">
        <v>140</v>
      </c>
      <c r="D11" s="11" t="s">
        <v>141</v>
      </c>
      <c r="E11" s="13" t="n">
        <v>1140</v>
      </c>
      <c r="F11" s="11" t="n">
        <v>9.7</v>
      </c>
      <c r="G11" s="11" t="s">
        <v>142</v>
      </c>
      <c r="H11" s="11" t="s">
        <v>143</v>
      </c>
      <c r="I11" s="12" t="s">
        <v>144</v>
      </c>
      <c r="J11" s="12" t="s">
        <v>145</v>
      </c>
      <c r="K11" s="12" t="s">
        <v>146</v>
      </c>
      <c r="L11" s="12" t="s">
        <v>147</v>
      </c>
      <c r="M11" s="12" t="s">
        <v>148</v>
      </c>
      <c r="N11" s="11" t="s">
        <v>62</v>
      </c>
      <c r="O11" s="11" t="n">
        <v>10</v>
      </c>
      <c r="P11" s="11" t="n">
        <v>10</v>
      </c>
      <c r="Q11" s="11" t="s">
        <v>63</v>
      </c>
      <c r="R11" s="14" t="s">
        <v>64</v>
      </c>
      <c r="S11" s="15"/>
      <c r="T11" s="14" t="s">
        <v>66</v>
      </c>
      <c r="U11" s="14" t="s">
        <v>66</v>
      </c>
      <c r="V11" s="14" t="s">
        <v>66</v>
      </c>
      <c r="W11" s="14"/>
    </row>
  </sheetData>
  <conditionalFormatting sqref="T2:T11">
    <cfRule type="expression" priority="2" aboveAverage="0" equalAverage="0" bottom="0" percent="0" rank="0" text="" dxfId="0">
      <formula>$T2="Yes"</formula>
    </cfRule>
  </conditionalFormatting>
  <conditionalFormatting sqref="U2:U11">
    <cfRule type="expression" priority="3" aboveAverage="0" equalAverage="0" bottom="0" percent="0" rank="0" text="" dxfId="0">
      <formula>$U2="Yes"</formula>
    </cfRule>
  </conditionalFormatting>
  <conditionalFormatting sqref="V2:V11">
    <cfRule type="expression" priority="4" aboveAverage="0" equalAverage="0" bottom="0" percent="0" rank="0" text="" dxfId="0">
      <formula>$V2="Yes"</formula>
    </cfRule>
  </conditionalFormatting>
  <dataValidations count="1">
    <dataValidation allowBlank="true" errorStyle="stop" operator="between" showDropDown="false" showErrorMessage="false" showInputMessage="false" sqref="T2:V11" type="list">
      <formula1>"Yes,Partly,No"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5"/>
  </cols>
  <sheetData>
    <row r="1" customFormat="false" ht="16.15" hidden="false" customHeight="false" outlineLevel="0" collapsed="false">
      <c r="A1" s="1" t="s">
        <v>149</v>
      </c>
    </row>
    <row r="3" customFormat="false" ht="48" hidden="false" customHeight="true" outlineLevel="0" collapsed="false">
      <c r="A3" s="16" t="s">
        <v>150</v>
      </c>
      <c r="B3" s="17" t="s">
        <v>151</v>
      </c>
    </row>
    <row r="4" customFormat="false" ht="48" hidden="false" customHeight="true" outlineLevel="0" collapsed="false">
      <c r="A4" s="16" t="s">
        <v>152</v>
      </c>
      <c r="B4" s="17" t="s">
        <v>153</v>
      </c>
    </row>
    <row r="5" customFormat="false" ht="48" hidden="false" customHeight="true" outlineLevel="0" collapsed="false">
      <c r="A5" s="16" t="s">
        <v>154</v>
      </c>
      <c r="B5" s="17" t="s">
        <v>155</v>
      </c>
    </row>
    <row r="6" customFormat="false" ht="48" hidden="false" customHeight="true" outlineLevel="0" collapsed="false">
      <c r="A6" s="16" t="s">
        <v>156</v>
      </c>
      <c r="B6" s="17" t="s">
        <v>157</v>
      </c>
    </row>
    <row r="7" customFormat="false" ht="48" hidden="false" customHeight="true" outlineLevel="0" collapsed="false">
      <c r="A7" s="16" t="s">
        <v>158</v>
      </c>
      <c r="B7" s="17" t="s">
        <v>159</v>
      </c>
    </row>
    <row r="8" customFormat="false" ht="48" hidden="false" customHeight="true" outlineLevel="0" collapsed="false">
      <c r="A8" s="16" t="s">
        <v>45</v>
      </c>
      <c r="B8" s="17" t="s">
        <v>160</v>
      </c>
    </row>
    <row r="9" customFormat="false" ht="48" hidden="false" customHeight="true" outlineLevel="0" collapsed="false">
      <c r="A9" s="16" t="s">
        <v>161</v>
      </c>
      <c r="B9" s="17" t="s">
        <v>162</v>
      </c>
    </row>
    <row r="10" customFormat="false" ht="48" hidden="false" customHeight="true" outlineLevel="0" collapsed="false">
      <c r="A10" s="16" t="s">
        <v>163</v>
      </c>
      <c r="B10" s="17" t="s">
        <v>164</v>
      </c>
    </row>
    <row r="11" customFormat="false" ht="48" hidden="false" customHeight="true" outlineLevel="0" collapsed="false">
      <c r="A11" s="16" t="s">
        <v>165</v>
      </c>
      <c r="B11" s="17" t="s">
        <v>166</v>
      </c>
    </row>
    <row r="12" customFormat="false" ht="48" hidden="false" customHeight="true" outlineLevel="0" collapsed="false">
      <c r="A12" s="16" t="s">
        <v>167</v>
      </c>
      <c r="B12" s="17" t="s">
        <v>168</v>
      </c>
    </row>
    <row r="13" customFormat="false" ht="48" hidden="false" customHeight="true" outlineLevel="0" collapsed="false">
      <c r="A13" s="16" t="s">
        <v>169</v>
      </c>
      <c r="B13" s="17" t="s">
        <v>170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8"/>
    <col collapsed="false" customWidth="true" hidden="false" outlineLevel="0" max="3" min="3" style="0" width="11"/>
    <col collapsed="false" customWidth="true" hidden="false" outlineLevel="0" max="4" min="4" style="0" width="15"/>
    <col collapsed="false" customWidth="true" hidden="false" outlineLevel="0" max="5" min="5" style="0" width="18"/>
    <col collapsed="false" customWidth="true" hidden="false" outlineLevel="0" max="6" min="6" style="0" width="24"/>
    <col collapsed="false" customWidth="true" hidden="false" outlineLevel="0" max="7" min="7" style="0" width="48"/>
    <col collapsed="false" customWidth="true" hidden="false" outlineLevel="0" max="8" min="8" style="0" width="24"/>
    <col collapsed="false" customWidth="true" hidden="false" outlineLevel="0" max="9" min="9" style="0" width="11"/>
    <col collapsed="false" customWidth="true" hidden="false" outlineLevel="0" max="10" min="10" style="0" width="9"/>
    <col collapsed="false" customWidth="true" hidden="false" outlineLevel="0" max="11" min="11" style="0" width="8"/>
    <col collapsed="false" customWidth="true" hidden="false" outlineLevel="0" max="13" min="12" style="0" width="7"/>
    <col collapsed="false" customWidth="true" hidden="false" outlineLevel="0" max="14" min="14" style="0" width="9"/>
    <col collapsed="false" customWidth="true" hidden="false" outlineLevel="0" max="15" min="15" style="0" width="8"/>
    <col collapsed="false" customWidth="true" hidden="false" outlineLevel="0" max="17" min="16" style="0" width="10"/>
    <col collapsed="false" customWidth="true" hidden="false" outlineLevel="0" max="19" min="18" style="0" width="11"/>
    <col collapsed="false" customWidth="true" hidden="false" outlineLevel="0" max="21" min="20" style="0" width="9"/>
    <col collapsed="false" customWidth="true" hidden="false" outlineLevel="0" max="22" min="22" style="0" width="46"/>
    <col collapsed="false" customWidth="true" hidden="false" outlineLevel="0" max="23" min="23" style="0" width="30"/>
    <col collapsed="false" customWidth="true" hidden="false" outlineLevel="0" max="24" min="24" style="0" width="14"/>
    <col collapsed="false" customWidth="true" hidden="false" outlineLevel="0" max="25" min="25" style="0" width="16"/>
    <col collapsed="false" customWidth="true" hidden="false" outlineLevel="0" max="26" min="26" style="0" width="13"/>
    <col collapsed="false" customWidth="true" hidden="false" outlineLevel="0" max="27" min="27" style="0" width="10"/>
    <col collapsed="false" customWidth="true" hidden="false" outlineLevel="0" max="28" min="28" style="0" width="28"/>
  </cols>
  <sheetData>
    <row r="1" customFormat="false" ht="33.75" hidden="false" customHeight="true" outlineLevel="0" collapsed="false">
      <c r="A1" s="9" t="s">
        <v>171</v>
      </c>
      <c r="B1" s="9" t="s">
        <v>172</v>
      </c>
      <c r="C1" s="9" t="s">
        <v>173</v>
      </c>
      <c r="D1" s="9" t="s">
        <v>174</v>
      </c>
      <c r="E1" s="9" t="s">
        <v>175</v>
      </c>
      <c r="F1" s="9" t="s">
        <v>176</v>
      </c>
      <c r="G1" s="9" t="s">
        <v>177</v>
      </c>
      <c r="H1" s="9" t="s">
        <v>178</v>
      </c>
      <c r="I1" s="9" t="s">
        <v>179</v>
      </c>
      <c r="J1" s="9" t="s">
        <v>180</v>
      </c>
      <c r="K1" s="9" t="s">
        <v>181</v>
      </c>
      <c r="L1" s="9" t="s">
        <v>71</v>
      </c>
      <c r="M1" s="9" t="s">
        <v>143</v>
      </c>
      <c r="N1" s="9" t="s">
        <v>56</v>
      </c>
      <c r="O1" s="9" t="s">
        <v>182</v>
      </c>
      <c r="P1" s="9" t="s">
        <v>183</v>
      </c>
      <c r="Q1" s="9" t="s">
        <v>184</v>
      </c>
      <c r="R1" s="9" t="s">
        <v>185</v>
      </c>
      <c r="S1" s="9" t="s">
        <v>186</v>
      </c>
      <c r="T1" s="9" t="s">
        <v>187</v>
      </c>
      <c r="U1" s="9" t="s">
        <v>188</v>
      </c>
      <c r="V1" s="9" t="s">
        <v>189</v>
      </c>
      <c r="W1" s="9" t="s">
        <v>190</v>
      </c>
      <c r="X1" s="9" t="s">
        <v>191</v>
      </c>
      <c r="Y1" s="10" t="s">
        <v>192</v>
      </c>
      <c r="Z1" s="10" t="s">
        <v>193</v>
      </c>
      <c r="AA1" s="10" t="s">
        <v>194</v>
      </c>
      <c r="AB1" s="10" t="s">
        <v>195</v>
      </c>
    </row>
    <row r="2" customFormat="false" ht="23.85" hidden="false" customHeight="false" outlineLevel="0" collapsed="false">
      <c r="A2" s="11" t="n">
        <v>1</v>
      </c>
      <c r="B2" s="18" t="s">
        <v>196</v>
      </c>
      <c r="C2" s="11" t="s">
        <v>197</v>
      </c>
      <c r="D2" s="11" t="s">
        <v>198</v>
      </c>
      <c r="E2" s="11" t="s">
        <v>198</v>
      </c>
      <c r="F2" s="12" t="s">
        <v>199</v>
      </c>
      <c r="G2" s="12" t="s">
        <v>200</v>
      </c>
      <c r="H2" s="11" t="s">
        <v>201</v>
      </c>
      <c r="I2" s="13"/>
      <c r="J2" s="19"/>
      <c r="K2" s="11" t="n">
        <f aca="false">COUNTIF('Post Plan'!$I$2:$I$348,B2)</f>
        <v>16</v>
      </c>
      <c r="L2" s="20" t="n">
        <f aca="false">COUNTIFS('Post Plan'!$I$2:$I$348,$B2,'Post Plan'!$J$2:$J$348,"Eat")</f>
        <v>3</v>
      </c>
      <c r="M2" s="20" t="n">
        <f aca="false">COUNTIFS('Post Plan'!$I$2:$I$348,$B2,'Post Plan'!$J$2:$J$348,"Drink")</f>
        <v>2</v>
      </c>
      <c r="N2" s="20" t="n">
        <f aca="false">COUNTIFS('Post Plan'!$I$2:$I$348,$B2,'Post Plan'!$J$2:$J$348,"Explore nearby")</f>
        <v>5</v>
      </c>
      <c r="O2" s="20" t="n">
        <f aca="false">COUNTIFS('Post Plan'!$I$2:$I$348,$B2,'Post Plan'!$J$2:$J$348,"See &amp; do")</f>
        <v>0</v>
      </c>
      <c r="P2" s="20" t="n">
        <f aca="false">COUNTIFS('Post Plan'!$I$2:$I$348,$B2,'Post Plan'!$J$2:$J$348,"Beaches &amp; islands")</f>
        <v>2</v>
      </c>
      <c r="Q2" s="20" t="n">
        <f aca="false">COUNTIFS('Post Plan'!$I$2:$I$348,$B2,'Post Plan'!$J$2:$J$348,"Towns, villages &amp; nature")</f>
        <v>4</v>
      </c>
      <c r="R2" s="13" t="n">
        <f aca="false">SUMIF('Post Plan'!$I$2:$I$348,B2,'Post Plan'!$M$2:$M$348)</f>
        <v>7080</v>
      </c>
      <c r="S2" s="21" t="n">
        <f aca="false">SUMIF('Post Plan'!$I$2:$I$348,B2,'Post Plan'!$O$2:$O$348)</f>
        <v>373.719690810545</v>
      </c>
      <c r="T2" s="11" t="n">
        <f aca="false">COUNTIFS('Post Plan'!$I$2:$I$348,B2,'Post Plan'!$B$2:$B$348,"Wave 1")</f>
        <v>4</v>
      </c>
      <c r="U2" s="11" t="n">
        <v>53</v>
      </c>
      <c r="V2" s="12" t="s">
        <v>202</v>
      </c>
      <c r="W2" s="14"/>
      <c r="X2" s="14"/>
      <c r="Y2" s="14" t="s">
        <v>203</v>
      </c>
      <c r="Z2" s="15"/>
      <c r="AA2" s="14" t="n">
        <f aca="false">COUNTIFS('Post Plan'!$I$2:$I$348,B2,'Post Plan'!$V$2:$V$348,"Published")</f>
        <v>0</v>
      </c>
      <c r="AB2" s="12"/>
    </row>
    <row r="3" customFormat="false" ht="35.05" hidden="false" customHeight="false" outlineLevel="0" collapsed="false">
      <c r="A3" s="11" t="n">
        <v>2</v>
      </c>
      <c r="B3" s="18" t="s">
        <v>204</v>
      </c>
      <c r="C3" s="11" t="s">
        <v>197</v>
      </c>
      <c r="D3" s="11" t="s">
        <v>205</v>
      </c>
      <c r="E3" s="11" t="s">
        <v>205</v>
      </c>
      <c r="F3" s="12" t="s">
        <v>199</v>
      </c>
      <c r="G3" s="12" t="s">
        <v>206</v>
      </c>
      <c r="H3" s="11" t="s">
        <v>207</v>
      </c>
      <c r="I3" s="13"/>
      <c r="J3" s="19"/>
      <c r="K3" s="11" t="n">
        <f aca="false">COUNTIF('Post Plan'!$I$2:$I$348,B3)</f>
        <v>14</v>
      </c>
      <c r="L3" s="20" t="n">
        <f aca="false">COUNTIFS('Post Plan'!$I$2:$I$348,$B3,'Post Plan'!$J$2:$J$348,"Eat")</f>
        <v>5</v>
      </c>
      <c r="M3" s="20" t="n">
        <f aca="false">COUNTIFS('Post Plan'!$I$2:$I$348,$B3,'Post Plan'!$J$2:$J$348,"Drink")</f>
        <v>1</v>
      </c>
      <c r="N3" s="20" t="n">
        <f aca="false">COUNTIFS('Post Plan'!$I$2:$I$348,$B3,'Post Plan'!$J$2:$J$348,"Explore nearby")</f>
        <v>2</v>
      </c>
      <c r="O3" s="20" t="n">
        <f aca="false">COUNTIFS('Post Plan'!$I$2:$I$348,$B3,'Post Plan'!$J$2:$J$348,"See &amp; do")</f>
        <v>1</v>
      </c>
      <c r="P3" s="20" t="n">
        <f aca="false">COUNTIFS('Post Plan'!$I$2:$I$348,$B3,'Post Plan'!$J$2:$J$348,"Beaches &amp; islands")</f>
        <v>4</v>
      </c>
      <c r="Q3" s="20" t="n">
        <f aca="false">COUNTIFS('Post Plan'!$I$2:$I$348,$B3,'Post Plan'!$J$2:$J$348,"Towns, villages &amp; nature")</f>
        <v>1</v>
      </c>
      <c r="R3" s="13" t="n">
        <f aca="false">SUMIF('Post Plan'!$I$2:$I$348,B3,'Post Plan'!$M$2:$M$348)</f>
        <v>5760</v>
      </c>
      <c r="S3" s="21" t="n">
        <f aca="false">SUMIF('Post Plan'!$I$2:$I$348,B3,'Post Plan'!$O$2:$O$348)</f>
        <v>332.089140728316</v>
      </c>
      <c r="T3" s="11" t="n">
        <f aca="false">COUNTIFS('Post Plan'!$I$2:$I$348,B3,'Post Plan'!$B$2:$B$348,"Wave 1")</f>
        <v>4</v>
      </c>
      <c r="U3" s="11" t="n">
        <v>21</v>
      </c>
      <c r="V3" s="12" t="s">
        <v>208</v>
      </c>
      <c r="W3" s="14"/>
      <c r="X3" s="14"/>
      <c r="Y3" s="14" t="s">
        <v>203</v>
      </c>
      <c r="Z3" s="15"/>
      <c r="AA3" s="14" t="n">
        <f aca="false">COUNTIFS('Post Plan'!$I$2:$I$348,B3,'Post Plan'!$V$2:$V$348,"Published")</f>
        <v>0</v>
      </c>
      <c r="AB3" s="12"/>
    </row>
    <row r="4" customFormat="false" ht="57.45" hidden="false" customHeight="false" outlineLevel="0" collapsed="false">
      <c r="A4" s="11" t="n">
        <v>3</v>
      </c>
      <c r="B4" s="18" t="s">
        <v>205</v>
      </c>
      <c r="C4" s="11" t="s">
        <v>209</v>
      </c>
      <c r="D4" s="11" t="s">
        <v>205</v>
      </c>
      <c r="E4" s="11" t="s">
        <v>210</v>
      </c>
      <c r="F4" s="12" t="s">
        <v>199</v>
      </c>
      <c r="G4" s="12" t="s">
        <v>211</v>
      </c>
      <c r="H4" s="11" t="s">
        <v>212</v>
      </c>
      <c r="I4" s="13"/>
      <c r="J4" s="19"/>
      <c r="K4" s="11" t="n">
        <f aca="false">COUNTIF('Post Plan'!$I$2:$I$348,B4)</f>
        <v>11</v>
      </c>
      <c r="L4" s="20" t="n">
        <f aca="false">COUNTIFS('Post Plan'!$I$2:$I$348,$B4,'Post Plan'!$J$2:$J$348,"Eat")</f>
        <v>1</v>
      </c>
      <c r="M4" s="20" t="n">
        <f aca="false">COUNTIFS('Post Plan'!$I$2:$I$348,$B4,'Post Plan'!$J$2:$J$348,"Drink")</f>
        <v>0</v>
      </c>
      <c r="N4" s="20" t="n">
        <f aca="false">COUNTIFS('Post Plan'!$I$2:$I$348,$B4,'Post Plan'!$J$2:$J$348,"Explore nearby")</f>
        <v>3</v>
      </c>
      <c r="O4" s="20" t="n">
        <f aca="false">COUNTIFS('Post Plan'!$I$2:$I$348,$B4,'Post Plan'!$J$2:$J$348,"See &amp; do")</f>
        <v>1</v>
      </c>
      <c r="P4" s="20" t="n">
        <f aca="false">COUNTIFS('Post Plan'!$I$2:$I$348,$B4,'Post Plan'!$J$2:$J$348,"Beaches &amp; islands")</f>
        <v>5</v>
      </c>
      <c r="Q4" s="20" t="n">
        <f aca="false">COUNTIFS('Post Plan'!$I$2:$I$348,$B4,'Post Plan'!$J$2:$J$348,"Towns, villages &amp; nature")</f>
        <v>1</v>
      </c>
      <c r="R4" s="13" t="n">
        <f aca="false">SUMIF('Post Plan'!$I$2:$I$348,B4,'Post Plan'!$M$2:$M$348)</f>
        <v>5820</v>
      </c>
      <c r="S4" s="21" t="n">
        <f aca="false">SUMIF('Post Plan'!$I$2:$I$348,B4,'Post Plan'!$O$2:$O$348)</f>
        <v>308.605022346085</v>
      </c>
      <c r="T4" s="11" t="n">
        <f aca="false">COUNTIFS('Post Plan'!$I$2:$I$348,B4,'Post Plan'!$B$2:$B$348,"Wave 1")</f>
        <v>4</v>
      </c>
      <c r="U4" s="11" t="n">
        <v>23</v>
      </c>
      <c r="V4" s="12" t="s">
        <v>213</v>
      </c>
      <c r="W4" s="14"/>
      <c r="X4" s="14"/>
      <c r="Y4" s="14" t="s">
        <v>203</v>
      </c>
      <c r="Z4" s="15"/>
      <c r="AA4" s="14" t="n">
        <f aca="false">COUNTIFS('Post Plan'!$I$2:$I$348,B4,'Post Plan'!$V$2:$V$348,"Published")</f>
        <v>0</v>
      </c>
      <c r="AB4" s="12"/>
    </row>
    <row r="5" customFormat="false" ht="46.25" hidden="false" customHeight="false" outlineLevel="0" collapsed="false">
      <c r="A5" s="11" t="n">
        <v>4</v>
      </c>
      <c r="B5" s="18" t="s">
        <v>214</v>
      </c>
      <c r="C5" s="11" t="s">
        <v>197</v>
      </c>
      <c r="D5" s="11" t="s">
        <v>215</v>
      </c>
      <c r="E5" s="11" t="s">
        <v>215</v>
      </c>
      <c r="F5" s="12" t="s">
        <v>216</v>
      </c>
      <c r="G5" s="12" t="s">
        <v>217</v>
      </c>
      <c r="H5" s="11" t="s">
        <v>218</v>
      </c>
      <c r="I5" s="13"/>
      <c r="J5" s="19"/>
      <c r="K5" s="11" t="n">
        <f aca="false">COUNTIF('Post Plan'!$I$2:$I$348,B5)</f>
        <v>13</v>
      </c>
      <c r="L5" s="20" t="n">
        <f aca="false">COUNTIFS('Post Plan'!$I$2:$I$348,$B5,'Post Plan'!$J$2:$J$348,"Eat")</f>
        <v>6</v>
      </c>
      <c r="M5" s="20" t="n">
        <f aca="false">COUNTIFS('Post Plan'!$I$2:$I$348,$B5,'Post Plan'!$J$2:$J$348,"Drink")</f>
        <v>3</v>
      </c>
      <c r="N5" s="20" t="n">
        <f aca="false">COUNTIFS('Post Plan'!$I$2:$I$348,$B5,'Post Plan'!$J$2:$J$348,"Explore nearby")</f>
        <v>2</v>
      </c>
      <c r="O5" s="20" t="n">
        <f aca="false">COUNTIFS('Post Plan'!$I$2:$I$348,$B5,'Post Plan'!$J$2:$J$348,"See &amp; do")</f>
        <v>0</v>
      </c>
      <c r="P5" s="20" t="n">
        <f aca="false">COUNTIFS('Post Plan'!$I$2:$I$348,$B5,'Post Plan'!$J$2:$J$348,"Beaches &amp; islands")</f>
        <v>1</v>
      </c>
      <c r="Q5" s="20" t="n">
        <f aca="false">COUNTIFS('Post Plan'!$I$2:$I$348,$B5,'Post Plan'!$J$2:$J$348,"Towns, villages &amp; nature")</f>
        <v>1</v>
      </c>
      <c r="R5" s="13" t="n">
        <f aca="false">SUMIF('Post Plan'!$I$2:$I$348,B5,'Post Plan'!$M$2:$M$348)</f>
        <v>7860</v>
      </c>
      <c r="S5" s="21" t="n">
        <f aca="false">SUMIF('Post Plan'!$I$2:$I$348,B5,'Post Plan'!$O$2:$O$348)</f>
        <v>304.288131476058</v>
      </c>
      <c r="T5" s="11" t="n">
        <f aca="false">COUNTIFS('Post Plan'!$I$2:$I$348,B5,'Post Plan'!$B$2:$B$348,"Wave 1")</f>
        <v>2</v>
      </c>
      <c r="U5" s="11" t="n">
        <v>66</v>
      </c>
      <c r="V5" s="12" t="s">
        <v>219</v>
      </c>
      <c r="W5" s="14"/>
      <c r="X5" s="14"/>
      <c r="Y5" s="14" t="s">
        <v>203</v>
      </c>
      <c r="Z5" s="15"/>
      <c r="AA5" s="14" t="n">
        <f aca="false">COUNTIFS('Post Plan'!$I$2:$I$348,B5,'Post Plan'!$V$2:$V$348,"Published")</f>
        <v>0</v>
      </c>
      <c r="AB5" s="12"/>
    </row>
    <row r="6" customFormat="false" ht="23.85" hidden="false" customHeight="false" outlineLevel="0" collapsed="false">
      <c r="A6" s="11" t="n">
        <v>5</v>
      </c>
      <c r="B6" s="18" t="s">
        <v>70</v>
      </c>
      <c r="C6" s="11" t="s">
        <v>220</v>
      </c>
      <c r="D6" s="11" t="s">
        <v>205</v>
      </c>
      <c r="E6" s="11" t="s">
        <v>205</v>
      </c>
      <c r="F6" s="12" t="s">
        <v>199</v>
      </c>
      <c r="G6" s="12" t="s">
        <v>221</v>
      </c>
      <c r="H6" s="11" t="s">
        <v>222</v>
      </c>
      <c r="I6" s="13" t="n">
        <v>370</v>
      </c>
      <c r="J6" s="19" t="n">
        <v>18.7</v>
      </c>
      <c r="K6" s="11" t="n">
        <f aca="false">COUNTIF('Post Plan'!$I$2:$I$348,B6)</f>
        <v>4</v>
      </c>
      <c r="L6" s="20" t="n">
        <f aca="false">COUNTIFS('Post Plan'!$I$2:$I$348,$B6,'Post Plan'!$J$2:$J$348,"Eat")</f>
        <v>2</v>
      </c>
      <c r="M6" s="20" t="n">
        <f aca="false">COUNTIFS('Post Plan'!$I$2:$I$348,$B6,'Post Plan'!$J$2:$J$348,"Drink")</f>
        <v>1</v>
      </c>
      <c r="N6" s="20" t="n">
        <f aca="false">COUNTIFS('Post Plan'!$I$2:$I$348,$B6,'Post Plan'!$J$2:$J$348,"Explore nearby")</f>
        <v>1</v>
      </c>
      <c r="O6" s="20" t="n">
        <f aca="false">COUNTIFS('Post Plan'!$I$2:$I$348,$B6,'Post Plan'!$J$2:$J$348,"See &amp; do")</f>
        <v>0</v>
      </c>
      <c r="P6" s="20" t="n">
        <f aca="false">COUNTIFS('Post Plan'!$I$2:$I$348,$B6,'Post Plan'!$J$2:$J$348,"Beaches &amp; islands")</f>
        <v>0</v>
      </c>
      <c r="Q6" s="20" t="n">
        <f aca="false">COUNTIFS('Post Plan'!$I$2:$I$348,$B6,'Post Plan'!$J$2:$J$348,"Towns, villages &amp; nature")</f>
        <v>0</v>
      </c>
      <c r="R6" s="13" t="n">
        <f aca="false">SUMIF('Post Plan'!$I$2:$I$348,B6,'Post Plan'!$M$2:$M$348)</f>
        <v>4870</v>
      </c>
      <c r="S6" s="21" t="n">
        <f aca="false">SUMIF('Post Plan'!$I$2:$I$348,B6,'Post Plan'!$O$2:$O$348)</f>
        <v>299.637822851306</v>
      </c>
      <c r="T6" s="11" t="n">
        <f aca="false">COUNTIFS('Post Plan'!$I$2:$I$348,B6,'Post Plan'!$B$2:$B$348,"Wave 1")</f>
        <v>4</v>
      </c>
      <c r="U6" s="11" t="n">
        <v>2</v>
      </c>
      <c r="V6" s="12" t="s">
        <v>223</v>
      </c>
      <c r="W6" s="14"/>
      <c r="X6" s="14"/>
      <c r="Y6" s="14" t="s">
        <v>203</v>
      </c>
      <c r="Z6" s="15"/>
      <c r="AA6" s="14" t="n">
        <f aca="false">COUNTIFS('Post Plan'!$I$2:$I$348,B6,'Post Plan'!$V$2:$V$348,"Published")</f>
        <v>0</v>
      </c>
      <c r="AB6" s="12"/>
    </row>
    <row r="7" customFormat="false" ht="23.85" hidden="false" customHeight="false" outlineLevel="0" collapsed="false">
      <c r="A7" s="11" t="n">
        <v>6</v>
      </c>
      <c r="B7" s="18" t="s">
        <v>89</v>
      </c>
      <c r="C7" s="11" t="s">
        <v>220</v>
      </c>
      <c r="D7" s="11" t="s">
        <v>205</v>
      </c>
      <c r="E7" s="11" t="s">
        <v>224</v>
      </c>
      <c r="F7" s="12" t="s">
        <v>199</v>
      </c>
      <c r="G7" s="12" t="s">
        <v>225</v>
      </c>
      <c r="H7" s="11" t="s">
        <v>226</v>
      </c>
      <c r="I7" s="13" t="n">
        <v>210</v>
      </c>
      <c r="J7" s="19" t="n">
        <v>16</v>
      </c>
      <c r="K7" s="11" t="n">
        <f aca="false">COUNTIF('Post Plan'!$I$2:$I$348,B7)</f>
        <v>9</v>
      </c>
      <c r="L7" s="20" t="n">
        <f aca="false">COUNTIFS('Post Plan'!$I$2:$I$348,$B7,'Post Plan'!$J$2:$J$348,"Eat")</f>
        <v>5</v>
      </c>
      <c r="M7" s="20" t="n">
        <f aca="false">COUNTIFS('Post Plan'!$I$2:$I$348,$B7,'Post Plan'!$J$2:$J$348,"Drink")</f>
        <v>3</v>
      </c>
      <c r="N7" s="20" t="n">
        <f aca="false">COUNTIFS('Post Plan'!$I$2:$I$348,$B7,'Post Plan'!$J$2:$J$348,"Explore nearby")</f>
        <v>1</v>
      </c>
      <c r="O7" s="20" t="n">
        <f aca="false">COUNTIFS('Post Plan'!$I$2:$I$348,$B7,'Post Plan'!$J$2:$J$348,"See &amp; do")</f>
        <v>0</v>
      </c>
      <c r="P7" s="20" t="n">
        <f aca="false">COUNTIFS('Post Plan'!$I$2:$I$348,$B7,'Post Plan'!$J$2:$J$348,"Beaches &amp; islands")</f>
        <v>0</v>
      </c>
      <c r="Q7" s="20" t="n">
        <f aca="false">COUNTIFS('Post Plan'!$I$2:$I$348,$B7,'Post Plan'!$J$2:$J$348,"Towns, villages &amp; nature")</f>
        <v>0</v>
      </c>
      <c r="R7" s="13" t="n">
        <f aca="false">SUMIF('Post Plan'!$I$2:$I$348,B7,'Post Plan'!$M$2:$M$348)</f>
        <v>4950</v>
      </c>
      <c r="S7" s="21" t="n">
        <f aca="false">SUMIF('Post Plan'!$I$2:$I$348,B7,'Post Plan'!$O$2:$O$348)</f>
        <v>290.037407860848</v>
      </c>
      <c r="T7" s="11" t="n">
        <f aca="false">COUNTIFS('Post Plan'!$I$2:$I$348,B7,'Post Plan'!$B$2:$B$348,"Wave 1")</f>
        <v>3</v>
      </c>
      <c r="U7" s="11" t="n">
        <v>4</v>
      </c>
      <c r="V7" s="12" t="s">
        <v>223</v>
      </c>
      <c r="W7" s="14"/>
      <c r="X7" s="14"/>
      <c r="Y7" s="14" t="s">
        <v>203</v>
      </c>
      <c r="Z7" s="15"/>
      <c r="AA7" s="14" t="n">
        <f aca="false">COUNTIFS('Post Plan'!$I$2:$I$348,B7,'Post Plan'!$V$2:$V$348,"Published")</f>
        <v>0</v>
      </c>
      <c r="AB7" s="12"/>
    </row>
    <row r="8" customFormat="false" ht="23.85" hidden="false" customHeight="false" outlineLevel="0" collapsed="false">
      <c r="A8" s="11" t="n">
        <v>7</v>
      </c>
      <c r="B8" s="18" t="s">
        <v>227</v>
      </c>
      <c r="C8" s="11" t="s">
        <v>220</v>
      </c>
      <c r="D8" s="11" t="s">
        <v>205</v>
      </c>
      <c r="E8" s="11" t="s">
        <v>228</v>
      </c>
      <c r="F8" s="12" t="s">
        <v>199</v>
      </c>
      <c r="G8" s="12" t="s">
        <v>229</v>
      </c>
      <c r="H8" s="11" t="s">
        <v>230</v>
      </c>
      <c r="I8" s="13" t="n">
        <v>310</v>
      </c>
      <c r="J8" s="19" t="n">
        <v>35.5</v>
      </c>
      <c r="K8" s="11" t="n">
        <f aca="false">COUNTIF('Post Plan'!$I$2:$I$348,B8)</f>
        <v>8</v>
      </c>
      <c r="L8" s="20" t="n">
        <f aca="false">COUNTIFS('Post Plan'!$I$2:$I$348,$B8,'Post Plan'!$J$2:$J$348,"Eat")</f>
        <v>4</v>
      </c>
      <c r="M8" s="20" t="n">
        <f aca="false">COUNTIFS('Post Plan'!$I$2:$I$348,$B8,'Post Plan'!$J$2:$J$348,"Drink")</f>
        <v>2</v>
      </c>
      <c r="N8" s="20" t="n">
        <f aca="false">COUNTIFS('Post Plan'!$I$2:$I$348,$B8,'Post Plan'!$J$2:$J$348,"Explore nearby")</f>
        <v>1</v>
      </c>
      <c r="O8" s="20" t="n">
        <f aca="false">COUNTIFS('Post Plan'!$I$2:$I$348,$B8,'Post Plan'!$J$2:$J$348,"See &amp; do")</f>
        <v>1</v>
      </c>
      <c r="P8" s="20" t="n">
        <f aca="false">COUNTIFS('Post Plan'!$I$2:$I$348,$B8,'Post Plan'!$J$2:$J$348,"Beaches &amp; islands")</f>
        <v>0</v>
      </c>
      <c r="Q8" s="20" t="n">
        <f aca="false">COUNTIFS('Post Plan'!$I$2:$I$348,$B8,'Post Plan'!$J$2:$J$348,"Towns, villages &amp; nature")</f>
        <v>0</v>
      </c>
      <c r="R8" s="13" t="n">
        <f aca="false">SUMIF('Post Plan'!$I$2:$I$348,B8,'Post Plan'!$M$2:$M$348)</f>
        <v>5420</v>
      </c>
      <c r="S8" s="21" t="n">
        <f aca="false">SUMIF('Post Plan'!$I$2:$I$348,B8,'Post Plan'!$O$2:$O$348)</f>
        <v>285.723275527704</v>
      </c>
      <c r="T8" s="11" t="n">
        <f aca="false">COUNTIFS('Post Plan'!$I$2:$I$348,B8,'Post Plan'!$B$2:$B$348,"Wave 1")</f>
        <v>5</v>
      </c>
      <c r="U8" s="11" t="n">
        <v>24</v>
      </c>
      <c r="V8" s="12" t="s">
        <v>223</v>
      </c>
      <c r="W8" s="14"/>
      <c r="X8" s="14"/>
      <c r="Y8" s="14" t="s">
        <v>203</v>
      </c>
      <c r="Z8" s="15"/>
      <c r="AA8" s="14" t="n">
        <f aca="false">COUNTIFS('Post Plan'!$I$2:$I$348,B8,'Post Plan'!$V$2:$V$348,"Published")</f>
        <v>0</v>
      </c>
      <c r="AB8" s="12"/>
    </row>
    <row r="9" customFormat="false" ht="23.85" hidden="false" customHeight="false" outlineLevel="0" collapsed="false">
      <c r="A9" s="11" t="n">
        <v>8</v>
      </c>
      <c r="B9" s="18" t="s">
        <v>231</v>
      </c>
      <c r="C9" s="11" t="s">
        <v>220</v>
      </c>
      <c r="D9" s="11" t="s">
        <v>205</v>
      </c>
      <c r="E9" s="11" t="s">
        <v>232</v>
      </c>
      <c r="F9" s="12" t="s">
        <v>199</v>
      </c>
      <c r="G9" s="12" t="s">
        <v>233</v>
      </c>
      <c r="H9" s="11" t="s">
        <v>234</v>
      </c>
      <c r="I9" s="13" t="n">
        <v>260</v>
      </c>
      <c r="J9" s="19" t="n">
        <v>24</v>
      </c>
      <c r="K9" s="11" t="n">
        <f aca="false">COUNTIF('Post Plan'!$I$2:$I$348,B9)</f>
        <v>8</v>
      </c>
      <c r="L9" s="20" t="n">
        <f aca="false">COUNTIFS('Post Plan'!$I$2:$I$348,$B9,'Post Plan'!$J$2:$J$348,"Eat")</f>
        <v>4</v>
      </c>
      <c r="M9" s="20" t="n">
        <f aca="false">COUNTIFS('Post Plan'!$I$2:$I$348,$B9,'Post Plan'!$J$2:$J$348,"Drink")</f>
        <v>3</v>
      </c>
      <c r="N9" s="20" t="n">
        <f aca="false">COUNTIFS('Post Plan'!$I$2:$I$348,$B9,'Post Plan'!$J$2:$J$348,"Explore nearby")</f>
        <v>0</v>
      </c>
      <c r="O9" s="20" t="n">
        <f aca="false">COUNTIFS('Post Plan'!$I$2:$I$348,$B9,'Post Plan'!$J$2:$J$348,"See &amp; do")</f>
        <v>1</v>
      </c>
      <c r="P9" s="20" t="n">
        <f aca="false">COUNTIFS('Post Plan'!$I$2:$I$348,$B9,'Post Plan'!$J$2:$J$348,"Beaches &amp; islands")</f>
        <v>0</v>
      </c>
      <c r="Q9" s="20" t="n">
        <f aca="false">COUNTIFS('Post Plan'!$I$2:$I$348,$B9,'Post Plan'!$J$2:$J$348,"Towns, villages &amp; nature")</f>
        <v>0</v>
      </c>
      <c r="R9" s="13" t="n">
        <f aca="false">SUMIF('Post Plan'!$I$2:$I$348,B9,'Post Plan'!$M$2:$M$348)</f>
        <v>4630</v>
      </c>
      <c r="S9" s="21" t="n">
        <f aca="false">SUMIF('Post Plan'!$I$2:$I$348,B9,'Post Plan'!$O$2:$O$348)</f>
        <v>276.296783046693</v>
      </c>
      <c r="T9" s="11" t="n">
        <f aca="false">COUNTIFS('Post Plan'!$I$2:$I$348,B9,'Post Plan'!$B$2:$B$348,"Wave 1")</f>
        <v>5</v>
      </c>
      <c r="U9" s="11" t="n">
        <v>14</v>
      </c>
      <c r="V9" s="12" t="s">
        <v>223</v>
      </c>
      <c r="W9" s="14"/>
      <c r="X9" s="14"/>
      <c r="Y9" s="14" t="s">
        <v>203</v>
      </c>
      <c r="Z9" s="15"/>
      <c r="AA9" s="14" t="n">
        <f aca="false">COUNTIFS('Post Plan'!$I$2:$I$348,B9,'Post Plan'!$V$2:$V$348,"Published")</f>
        <v>0</v>
      </c>
      <c r="AB9" s="12"/>
    </row>
    <row r="10" customFormat="false" ht="23.85" hidden="false" customHeight="false" outlineLevel="0" collapsed="false">
      <c r="A10" s="11" t="n">
        <v>9</v>
      </c>
      <c r="B10" s="18" t="s">
        <v>235</v>
      </c>
      <c r="C10" s="11" t="s">
        <v>220</v>
      </c>
      <c r="D10" s="11" t="s">
        <v>205</v>
      </c>
      <c r="E10" s="11" t="s">
        <v>205</v>
      </c>
      <c r="F10" s="12" t="s">
        <v>199</v>
      </c>
      <c r="G10" s="12" t="s">
        <v>236</v>
      </c>
      <c r="H10" s="11" t="s">
        <v>237</v>
      </c>
      <c r="I10" s="13" t="n">
        <v>740</v>
      </c>
      <c r="J10" s="19" t="n">
        <v>34.2</v>
      </c>
      <c r="K10" s="11" t="n">
        <f aca="false">COUNTIF('Post Plan'!$I$2:$I$348,B10)</f>
        <v>7</v>
      </c>
      <c r="L10" s="20" t="n">
        <f aca="false">COUNTIFS('Post Plan'!$I$2:$I$348,$B10,'Post Plan'!$J$2:$J$348,"Eat")</f>
        <v>4</v>
      </c>
      <c r="M10" s="20" t="n">
        <f aca="false">COUNTIFS('Post Plan'!$I$2:$I$348,$B10,'Post Plan'!$J$2:$J$348,"Drink")</f>
        <v>2</v>
      </c>
      <c r="N10" s="20" t="n">
        <f aca="false">COUNTIFS('Post Plan'!$I$2:$I$348,$B10,'Post Plan'!$J$2:$J$348,"Explore nearby")</f>
        <v>1</v>
      </c>
      <c r="O10" s="20" t="n">
        <f aca="false">COUNTIFS('Post Plan'!$I$2:$I$348,$B10,'Post Plan'!$J$2:$J$348,"See &amp; do")</f>
        <v>0</v>
      </c>
      <c r="P10" s="20" t="n">
        <f aca="false">COUNTIFS('Post Plan'!$I$2:$I$348,$B10,'Post Plan'!$J$2:$J$348,"Beaches &amp; islands")</f>
        <v>0</v>
      </c>
      <c r="Q10" s="20" t="n">
        <f aca="false">COUNTIFS('Post Plan'!$I$2:$I$348,$B10,'Post Plan'!$J$2:$J$348,"Towns, villages &amp; nature")</f>
        <v>0</v>
      </c>
      <c r="R10" s="13" t="n">
        <f aca="false">SUMIF('Post Plan'!$I$2:$I$348,B10,'Post Plan'!$M$2:$M$348)</f>
        <v>5160</v>
      </c>
      <c r="S10" s="21" t="n">
        <f aca="false">SUMIF('Post Plan'!$I$2:$I$348,B10,'Post Plan'!$O$2:$O$348)</f>
        <v>266.596642497842</v>
      </c>
      <c r="T10" s="11" t="n">
        <f aca="false">COUNTIFS('Post Plan'!$I$2:$I$348,B10,'Post Plan'!$B$2:$B$348,"Wave 1")</f>
        <v>5</v>
      </c>
      <c r="U10" s="11" t="n">
        <v>10</v>
      </c>
      <c r="V10" s="12" t="s">
        <v>223</v>
      </c>
      <c r="W10" s="14"/>
      <c r="X10" s="14"/>
      <c r="Y10" s="14" t="s">
        <v>203</v>
      </c>
      <c r="Z10" s="15"/>
      <c r="AA10" s="14" t="n">
        <f aca="false">COUNTIFS('Post Plan'!$I$2:$I$348,B10,'Post Plan'!$V$2:$V$348,"Published")</f>
        <v>0</v>
      </c>
      <c r="AB10" s="12"/>
    </row>
    <row r="11" customFormat="false" ht="23.85" hidden="false" customHeight="false" outlineLevel="0" collapsed="false">
      <c r="A11" s="11" t="n">
        <v>10</v>
      </c>
      <c r="B11" s="18" t="s">
        <v>238</v>
      </c>
      <c r="C11" s="11" t="s">
        <v>220</v>
      </c>
      <c r="D11" s="11" t="s">
        <v>205</v>
      </c>
      <c r="E11" s="11" t="s">
        <v>204</v>
      </c>
      <c r="F11" s="12" t="s">
        <v>199</v>
      </c>
      <c r="G11" s="12" t="s">
        <v>239</v>
      </c>
      <c r="H11" s="11" t="s">
        <v>240</v>
      </c>
      <c r="I11" s="13" t="n">
        <v>590</v>
      </c>
      <c r="J11" s="19" t="n">
        <v>21.3</v>
      </c>
      <c r="K11" s="11" t="n">
        <f aca="false">COUNTIF('Post Plan'!$I$2:$I$348,B11)</f>
        <v>6</v>
      </c>
      <c r="L11" s="20" t="n">
        <f aca="false">COUNTIFS('Post Plan'!$I$2:$I$348,$B11,'Post Plan'!$J$2:$J$348,"Eat")</f>
        <v>3</v>
      </c>
      <c r="M11" s="20" t="n">
        <f aca="false">COUNTIFS('Post Plan'!$I$2:$I$348,$B11,'Post Plan'!$J$2:$J$348,"Drink")</f>
        <v>2</v>
      </c>
      <c r="N11" s="20" t="n">
        <f aca="false">COUNTIFS('Post Plan'!$I$2:$I$348,$B11,'Post Plan'!$J$2:$J$348,"Explore nearby")</f>
        <v>1</v>
      </c>
      <c r="O11" s="20" t="n">
        <f aca="false">COUNTIFS('Post Plan'!$I$2:$I$348,$B11,'Post Plan'!$J$2:$J$348,"See &amp; do")</f>
        <v>0</v>
      </c>
      <c r="P11" s="20" t="n">
        <f aca="false">COUNTIFS('Post Plan'!$I$2:$I$348,$B11,'Post Plan'!$J$2:$J$348,"Beaches &amp; islands")</f>
        <v>0</v>
      </c>
      <c r="Q11" s="20" t="n">
        <f aca="false">COUNTIFS('Post Plan'!$I$2:$I$348,$B11,'Post Plan'!$J$2:$J$348,"Towns, villages &amp; nature")</f>
        <v>0</v>
      </c>
      <c r="R11" s="13" t="n">
        <f aca="false">SUMIF('Post Plan'!$I$2:$I$348,B11,'Post Plan'!$M$2:$M$348)</f>
        <v>4870</v>
      </c>
      <c r="S11" s="21" t="n">
        <f aca="false">SUMIF('Post Plan'!$I$2:$I$348,B11,'Post Plan'!$O$2:$O$348)</f>
        <v>242.05915341271</v>
      </c>
      <c r="T11" s="11" t="n">
        <f aca="false">COUNTIFS('Post Plan'!$I$2:$I$348,B11,'Post Plan'!$B$2:$B$348,"Wave 1")</f>
        <v>3</v>
      </c>
      <c r="U11" s="11" t="n">
        <v>13</v>
      </c>
      <c r="V11" s="12" t="s">
        <v>223</v>
      </c>
      <c r="W11" s="14"/>
      <c r="X11" s="14"/>
      <c r="Y11" s="14" t="s">
        <v>203</v>
      </c>
      <c r="Z11" s="15"/>
      <c r="AA11" s="14" t="n">
        <f aca="false">COUNTIFS('Post Plan'!$I$2:$I$348,B11,'Post Plan'!$V$2:$V$348,"Published")</f>
        <v>0</v>
      </c>
      <c r="AB11" s="12"/>
    </row>
    <row r="12" customFormat="false" ht="23.85" hidden="false" customHeight="false" outlineLevel="0" collapsed="false">
      <c r="A12" s="11" t="n">
        <v>11</v>
      </c>
      <c r="B12" s="18" t="s">
        <v>55</v>
      </c>
      <c r="C12" s="11" t="s">
        <v>220</v>
      </c>
      <c r="D12" s="11" t="s">
        <v>198</v>
      </c>
      <c r="E12" s="11" t="s">
        <v>241</v>
      </c>
      <c r="F12" s="12" t="s">
        <v>242</v>
      </c>
      <c r="G12" s="12" t="s">
        <v>243</v>
      </c>
      <c r="H12" s="11" t="s">
        <v>244</v>
      </c>
      <c r="I12" s="13" t="n">
        <v>170</v>
      </c>
      <c r="J12" s="19" t="n">
        <v>25</v>
      </c>
      <c r="K12" s="11" t="n">
        <f aca="false">COUNTIF('Post Plan'!$I$2:$I$348,B12)</f>
        <v>8</v>
      </c>
      <c r="L12" s="20" t="n">
        <f aca="false">COUNTIFS('Post Plan'!$I$2:$I$348,$B12,'Post Plan'!$J$2:$J$348,"Eat")</f>
        <v>4</v>
      </c>
      <c r="M12" s="20" t="n">
        <f aca="false">COUNTIFS('Post Plan'!$I$2:$I$348,$B12,'Post Plan'!$J$2:$J$348,"Drink")</f>
        <v>3</v>
      </c>
      <c r="N12" s="20" t="n">
        <f aca="false">COUNTIFS('Post Plan'!$I$2:$I$348,$B12,'Post Plan'!$J$2:$J$348,"Explore nearby")</f>
        <v>1</v>
      </c>
      <c r="O12" s="20" t="n">
        <f aca="false">COUNTIFS('Post Plan'!$I$2:$I$348,$B12,'Post Plan'!$J$2:$J$348,"See &amp; do")</f>
        <v>0</v>
      </c>
      <c r="P12" s="20" t="n">
        <f aca="false">COUNTIFS('Post Plan'!$I$2:$I$348,$B12,'Post Plan'!$J$2:$J$348,"Beaches &amp; islands")</f>
        <v>0</v>
      </c>
      <c r="Q12" s="20" t="n">
        <f aca="false">COUNTIFS('Post Plan'!$I$2:$I$348,$B12,'Post Plan'!$J$2:$J$348,"Towns, villages &amp; nature")</f>
        <v>0</v>
      </c>
      <c r="R12" s="13" t="n">
        <f aca="false">SUMIF('Post Plan'!$I$2:$I$348,B12,'Post Plan'!$M$2:$M$348)</f>
        <v>4330</v>
      </c>
      <c r="S12" s="21" t="n">
        <f aca="false">SUMIF('Post Plan'!$I$2:$I$348,B12,'Post Plan'!$O$2:$O$348)</f>
        <v>232.915955645223</v>
      </c>
      <c r="T12" s="11" t="n">
        <f aca="false">COUNTIFS('Post Plan'!$I$2:$I$348,B12,'Post Plan'!$B$2:$B$348,"Wave 1")</f>
        <v>2</v>
      </c>
      <c r="U12" s="11" t="n">
        <v>1</v>
      </c>
      <c r="V12" s="12" t="s">
        <v>245</v>
      </c>
      <c r="W12" s="14"/>
      <c r="X12" s="14"/>
      <c r="Y12" s="14" t="s">
        <v>203</v>
      </c>
      <c r="Z12" s="15"/>
      <c r="AA12" s="14" t="n">
        <f aca="false">COUNTIFS('Post Plan'!$I$2:$I$348,B12,'Post Plan'!$V$2:$V$348,"Published")</f>
        <v>0</v>
      </c>
      <c r="AB12" s="12"/>
    </row>
    <row r="13" customFormat="false" ht="23.85" hidden="false" customHeight="false" outlineLevel="0" collapsed="false">
      <c r="A13" s="11" t="n">
        <v>12</v>
      </c>
      <c r="B13" s="18" t="s">
        <v>133</v>
      </c>
      <c r="C13" s="11" t="s">
        <v>220</v>
      </c>
      <c r="D13" s="11" t="s">
        <v>246</v>
      </c>
      <c r="E13" s="11" t="s">
        <v>247</v>
      </c>
      <c r="F13" s="12" t="s">
        <v>199</v>
      </c>
      <c r="G13" s="12" t="s">
        <v>248</v>
      </c>
      <c r="H13" s="11" t="s">
        <v>249</v>
      </c>
      <c r="I13" s="13" t="n">
        <v>260</v>
      </c>
      <c r="J13" s="19" t="n">
        <v>35</v>
      </c>
      <c r="K13" s="11" t="n">
        <f aca="false">COUNTIF('Post Plan'!$I$2:$I$348,B13)</f>
        <v>7</v>
      </c>
      <c r="L13" s="20" t="n">
        <f aca="false">COUNTIFS('Post Plan'!$I$2:$I$348,$B13,'Post Plan'!$J$2:$J$348,"Eat")</f>
        <v>4</v>
      </c>
      <c r="M13" s="20" t="n">
        <f aca="false">COUNTIFS('Post Plan'!$I$2:$I$348,$B13,'Post Plan'!$J$2:$J$348,"Drink")</f>
        <v>1</v>
      </c>
      <c r="N13" s="20" t="n">
        <f aca="false">COUNTIFS('Post Plan'!$I$2:$I$348,$B13,'Post Plan'!$J$2:$J$348,"Explore nearby")</f>
        <v>1</v>
      </c>
      <c r="O13" s="20" t="n">
        <f aca="false">COUNTIFS('Post Plan'!$I$2:$I$348,$B13,'Post Plan'!$J$2:$J$348,"See &amp; do")</f>
        <v>1</v>
      </c>
      <c r="P13" s="20" t="n">
        <f aca="false">COUNTIFS('Post Plan'!$I$2:$I$348,$B13,'Post Plan'!$J$2:$J$348,"Beaches &amp; islands")</f>
        <v>0</v>
      </c>
      <c r="Q13" s="20" t="n">
        <f aca="false">COUNTIFS('Post Plan'!$I$2:$I$348,$B13,'Post Plan'!$J$2:$J$348,"Towns, villages &amp; nature")</f>
        <v>0</v>
      </c>
      <c r="R13" s="13" t="n">
        <f aca="false">SUMIF('Post Plan'!$I$2:$I$348,B13,'Post Plan'!$M$2:$M$348)</f>
        <v>3650</v>
      </c>
      <c r="S13" s="21" t="n">
        <f aca="false">SUMIF('Post Plan'!$I$2:$I$348,B13,'Post Plan'!$O$2:$O$348)</f>
        <v>212.709186650709</v>
      </c>
      <c r="T13" s="11" t="n">
        <f aca="false">COUNTIFS('Post Plan'!$I$2:$I$348,B13,'Post Plan'!$B$2:$B$348,"Wave 1")</f>
        <v>2</v>
      </c>
      <c r="U13" s="11" t="n">
        <v>9</v>
      </c>
      <c r="V13" s="12" t="s">
        <v>223</v>
      </c>
      <c r="W13" s="14"/>
      <c r="X13" s="14"/>
      <c r="Y13" s="14" t="s">
        <v>203</v>
      </c>
      <c r="Z13" s="15"/>
      <c r="AA13" s="14" t="n">
        <f aca="false">COUNTIFS('Post Plan'!$I$2:$I$348,B13,'Post Plan'!$V$2:$V$348,"Published")</f>
        <v>0</v>
      </c>
      <c r="AB13" s="12"/>
    </row>
    <row r="14" customFormat="false" ht="23.85" hidden="false" customHeight="false" outlineLevel="0" collapsed="false">
      <c r="A14" s="11" t="n">
        <v>13</v>
      </c>
      <c r="B14" s="18" t="s">
        <v>80</v>
      </c>
      <c r="C14" s="11" t="s">
        <v>220</v>
      </c>
      <c r="D14" s="11" t="s">
        <v>246</v>
      </c>
      <c r="E14" s="11" t="s">
        <v>247</v>
      </c>
      <c r="F14" s="12" t="s">
        <v>250</v>
      </c>
      <c r="G14" s="12" t="s">
        <v>251</v>
      </c>
      <c r="H14" s="11" t="s">
        <v>252</v>
      </c>
      <c r="I14" s="13"/>
      <c r="J14" s="19"/>
      <c r="K14" s="11" t="n">
        <f aca="false">COUNTIF('Post Plan'!$I$2:$I$348,B14)</f>
        <v>6</v>
      </c>
      <c r="L14" s="20" t="n">
        <f aca="false">COUNTIFS('Post Plan'!$I$2:$I$348,$B14,'Post Plan'!$J$2:$J$348,"Eat")</f>
        <v>4</v>
      </c>
      <c r="M14" s="20" t="n">
        <f aca="false">COUNTIFS('Post Plan'!$I$2:$I$348,$B14,'Post Plan'!$J$2:$J$348,"Drink")</f>
        <v>1</v>
      </c>
      <c r="N14" s="20" t="n">
        <f aca="false">COUNTIFS('Post Plan'!$I$2:$I$348,$B14,'Post Plan'!$J$2:$J$348,"Explore nearby")</f>
        <v>1</v>
      </c>
      <c r="O14" s="20" t="n">
        <f aca="false">COUNTIFS('Post Plan'!$I$2:$I$348,$B14,'Post Plan'!$J$2:$J$348,"See &amp; do")</f>
        <v>0</v>
      </c>
      <c r="P14" s="20" t="n">
        <f aca="false">COUNTIFS('Post Plan'!$I$2:$I$348,$B14,'Post Plan'!$J$2:$J$348,"Beaches &amp; islands")</f>
        <v>0</v>
      </c>
      <c r="Q14" s="20" t="n">
        <f aca="false">COUNTIFS('Post Plan'!$I$2:$I$348,$B14,'Post Plan'!$J$2:$J$348,"Towns, villages &amp; nature")</f>
        <v>0</v>
      </c>
      <c r="R14" s="13" t="n">
        <f aca="false">SUMIF('Post Plan'!$I$2:$I$348,B14,'Post Plan'!$M$2:$M$348)</f>
        <v>3770</v>
      </c>
      <c r="S14" s="21" t="n">
        <f aca="false">SUMIF('Post Plan'!$I$2:$I$348,B14,'Post Plan'!$O$2:$O$348)</f>
        <v>209.48019812118</v>
      </c>
      <c r="T14" s="11" t="n">
        <f aca="false">COUNTIFS('Post Plan'!$I$2:$I$348,B14,'Post Plan'!$B$2:$B$348,"Wave 1")</f>
        <v>2</v>
      </c>
      <c r="U14" s="11" t="n">
        <v>3</v>
      </c>
      <c r="V14" s="12" t="s">
        <v>245</v>
      </c>
      <c r="W14" s="14"/>
      <c r="X14" s="14"/>
      <c r="Y14" s="14" t="s">
        <v>203</v>
      </c>
      <c r="Z14" s="15"/>
      <c r="AA14" s="14" t="n">
        <f aca="false">COUNTIFS('Post Plan'!$I$2:$I$348,B14,'Post Plan'!$V$2:$V$348,"Published")</f>
        <v>0</v>
      </c>
      <c r="AB14" s="12"/>
    </row>
    <row r="15" customFormat="false" ht="35.05" hidden="false" customHeight="false" outlineLevel="0" collapsed="false">
      <c r="A15" s="11" t="n">
        <v>14</v>
      </c>
      <c r="B15" s="18" t="s">
        <v>232</v>
      </c>
      <c r="C15" s="11" t="s">
        <v>197</v>
      </c>
      <c r="D15" s="11" t="s">
        <v>205</v>
      </c>
      <c r="E15" s="11" t="s">
        <v>205</v>
      </c>
      <c r="F15" s="12" t="s">
        <v>199</v>
      </c>
      <c r="G15" s="12" t="s">
        <v>253</v>
      </c>
      <c r="H15" s="11" t="s">
        <v>254</v>
      </c>
      <c r="I15" s="13"/>
      <c r="J15" s="19"/>
      <c r="K15" s="11" t="n">
        <f aca="false">COUNTIF('Post Plan'!$I$2:$I$348,B15)</f>
        <v>10</v>
      </c>
      <c r="L15" s="20" t="n">
        <f aca="false">COUNTIFS('Post Plan'!$I$2:$I$348,$B15,'Post Plan'!$J$2:$J$348,"Eat")</f>
        <v>2</v>
      </c>
      <c r="M15" s="20" t="n">
        <f aca="false">COUNTIFS('Post Plan'!$I$2:$I$348,$B15,'Post Plan'!$J$2:$J$348,"Drink")</f>
        <v>0</v>
      </c>
      <c r="N15" s="20" t="n">
        <f aca="false">COUNTIFS('Post Plan'!$I$2:$I$348,$B15,'Post Plan'!$J$2:$J$348,"Explore nearby")</f>
        <v>3</v>
      </c>
      <c r="O15" s="20" t="n">
        <f aca="false">COUNTIFS('Post Plan'!$I$2:$I$348,$B15,'Post Plan'!$J$2:$J$348,"See &amp; do")</f>
        <v>1</v>
      </c>
      <c r="P15" s="20" t="n">
        <f aca="false">COUNTIFS('Post Plan'!$I$2:$I$348,$B15,'Post Plan'!$J$2:$J$348,"Beaches &amp; islands")</f>
        <v>3</v>
      </c>
      <c r="Q15" s="20" t="n">
        <f aca="false">COUNTIFS('Post Plan'!$I$2:$I$348,$B15,'Post Plan'!$J$2:$J$348,"Towns, villages &amp; nature")</f>
        <v>1</v>
      </c>
      <c r="R15" s="13" t="n">
        <f aca="false">SUMIF('Post Plan'!$I$2:$I$348,B15,'Post Plan'!$M$2:$M$348)</f>
        <v>3390</v>
      </c>
      <c r="S15" s="21" t="n">
        <f aca="false">SUMIF('Post Plan'!$I$2:$I$348,B15,'Post Plan'!$O$2:$O$348)</f>
        <v>196.77760315858</v>
      </c>
      <c r="T15" s="11" t="n">
        <f aca="false">COUNTIFS('Post Plan'!$I$2:$I$348,B15,'Post Plan'!$B$2:$B$348,"Wave 1")</f>
        <v>2</v>
      </c>
      <c r="U15" s="11" t="n">
        <v>30</v>
      </c>
      <c r="V15" s="12" t="s">
        <v>255</v>
      </c>
      <c r="W15" s="14"/>
      <c r="X15" s="14"/>
      <c r="Y15" s="14" t="s">
        <v>203</v>
      </c>
      <c r="Z15" s="15"/>
      <c r="AA15" s="14" t="n">
        <f aca="false">COUNTIFS('Post Plan'!$I$2:$I$348,B15,'Post Plan'!$V$2:$V$348,"Published")</f>
        <v>0</v>
      </c>
      <c r="AB15" s="12"/>
    </row>
    <row r="16" customFormat="false" ht="23.85" hidden="false" customHeight="false" outlineLevel="0" collapsed="false">
      <c r="A16" s="11" t="n">
        <v>15</v>
      </c>
      <c r="B16" s="18" t="s">
        <v>256</v>
      </c>
      <c r="C16" s="11" t="s">
        <v>220</v>
      </c>
      <c r="D16" s="11" t="s">
        <v>246</v>
      </c>
      <c r="E16" s="11" t="s">
        <v>257</v>
      </c>
      <c r="F16" s="12" t="s">
        <v>199</v>
      </c>
      <c r="G16" s="12" t="s">
        <v>258</v>
      </c>
      <c r="H16" s="11" t="s">
        <v>259</v>
      </c>
      <c r="I16" s="13" t="n">
        <v>370</v>
      </c>
      <c r="J16" s="19" t="n">
        <v>18.9</v>
      </c>
      <c r="K16" s="11" t="n">
        <f aca="false">COUNTIF('Post Plan'!$I$2:$I$348,B16)</f>
        <v>7</v>
      </c>
      <c r="L16" s="20" t="n">
        <f aca="false">COUNTIFS('Post Plan'!$I$2:$I$348,$B16,'Post Plan'!$J$2:$J$348,"Eat")</f>
        <v>5</v>
      </c>
      <c r="M16" s="20" t="n">
        <f aca="false">COUNTIFS('Post Plan'!$I$2:$I$348,$B16,'Post Plan'!$J$2:$J$348,"Drink")</f>
        <v>1</v>
      </c>
      <c r="N16" s="20" t="n">
        <f aca="false">COUNTIFS('Post Plan'!$I$2:$I$348,$B16,'Post Plan'!$J$2:$J$348,"Explore nearby")</f>
        <v>1</v>
      </c>
      <c r="O16" s="20" t="n">
        <f aca="false">COUNTIFS('Post Plan'!$I$2:$I$348,$B16,'Post Plan'!$J$2:$J$348,"See &amp; do")</f>
        <v>0</v>
      </c>
      <c r="P16" s="20" t="n">
        <f aca="false">COUNTIFS('Post Plan'!$I$2:$I$348,$B16,'Post Plan'!$J$2:$J$348,"Beaches &amp; islands")</f>
        <v>0</v>
      </c>
      <c r="Q16" s="20" t="n">
        <f aca="false">COUNTIFS('Post Plan'!$I$2:$I$348,$B16,'Post Plan'!$J$2:$J$348,"Towns, villages &amp; nature")</f>
        <v>0</v>
      </c>
      <c r="R16" s="13" t="n">
        <f aca="false">SUMIF('Post Plan'!$I$2:$I$348,B16,'Post Plan'!$M$2:$M$348)</f>
        <v>3750</v>
      </c>
      <c r="S16" s="21" t="n">
        <f aca="false">SUMIF('Post Plan'!$I$2:$I$348,B16,'Post Plan'!$O$2:$O$348)</f>
        <v>196.22603838809</v>
      </c>
      <c r="T16" s="11" t="n">
        <f aca="false">COUNTIFS('Post Plan'!$I$2:$I$348,B16,'Post Plan'!$B$2:$B$348,"Wave 1")</f>
        <v>3</v>
      </c>
      <c r="U16" s="11" t="n">
        <v>40</v>
      </c>
      <c r="V16" s="12" t="s">
        <v>223</v>
      </c>
      <c r="W16" s="14"/>
      <c r="X16" s="14"/>
      <c r="Y16" s="14" t="s">
        <v>203</v>
      </c>
      <c r="Z16" s="15"/>
      <c r="AA16" s="14" t="n">
        <f aca="false">COUNTIFS('Post Plan'!$I$2:$I$348,B16,'Post Plan'!$V$2:$V$348,"Published")</f>
        <v>0</v>
      </c>
      <c r="AB16" s="12"/>
    </row>
    <row r="17" customFormat="false" ht="23.85" hidden="false" customHeight="false" outlineLevel="0" collapsed="false">
      <c r="A17" s="11" t="n">
        <v>16</v>
      </c>
      <c r="B17" s="18" t="s">
        <v>106</v>
      </c>
      <c r="C17" s="11" t="s">
        <v>220</v>
      </c>
      <c r="D17" s="11" t="s">
        <v>198</v>
      </c>
      <c r="E17" s="11" t="s">
        <v>196</v>
      </c>
      <c r="F17" s="12" t="s">
        <v>260</v>
      </c>
      <c r="G17" s="12" t="s">
        <v>261</v>
      </c>
      <c r="H17" s="11" t="s">
        <v>262</v>
      </c>
      <c r="I17" s="13"/>
      <c r="J17" s="19"/>
      <c r="K17" s="11" t="n">
        <f aca="false">COUNTIF('Post Plan'!$I$2:$I$348,B17)</f>
        <v>10</v>
      </c>
      <c r="L17" s="20" t="n">
        <f aca="false">COUNTIFS('Post Plan'!$I$2:$I$348,$B17,'Post Plan'!$J$2:$J$348,"Eat")</f>
        <v>6</v>
      </c>
      <c r="M17" s="20" t="n">
        <f aca="false">COUNTIFS('Post Plan'!$I$2:$I$348,$B17,'Post Plan'!$J$2:$J$348,"Drink")</f>
        <v>2</v>
      </c>
      <c r="N17" s="20" t="n">
        <f aca="false">COUNTIFS('Post Plan'!$I$2:$I$348,$B17,'Post Plan'!$J$2:$J$348,"Explore nearby")</f>
        <v>2</v>
      </c>
      <c r="O17" s="20" t="n">
        <f aca="false">COUNTIFS('Post Plan'!$I$2:$I$348,$B17,'Post Plan'!$J$2:$J$348,"See &amp; do")</f>
        <v>0</v>
      </c>
      <c r="P17" s="20" t="n">
        <f aca="false">COUNTIFS('Post Plan'!$I$2:$I$348,$B17,'Post Plan'!$J$2:$J$348,"Beaches &amp; islands")</f>
        <v>0</v>
      </c>
      <c r="Q17" s="20" t="n">
        <f aca="false">COUNTIFS('Post Plan'!$I$2:$I$348,$B17,'Post Plan'!$J$2:$J$348,"Towns, villages &amp; nature")</f>
        <v>0</v>
      </c>
      <c r="R17" s="13" t="n">
        <f aca="false">SUMIF('Post Plan'!$I$2:$I$348,B17,'Post Plan'!$M$2:$M$348)</f>
        <v>4310</v>
      </c>
      <c r="S17" s="21" t="n">
        <f aca="false">SUMIF('Post Plan'!$I$2:$I$348,B17,'Post Plan'!$O$2:$O$348)</f>
        <v>196.082731229011</v>
      </c>
      <c r="T17" s="11" t="n">
        <f aca="false">COUNTIFS('Post Plan'!$I$2:$I$348,B17,'Post Plan'!$B$2:$B$348,"Wave 1")</f>
        <v>2</v>
      </c>
      <c r="U17" s="11" t="n">
        <v>7</v>
      </c>
      <c r="V17" s="12" t="s">
        <v>245</v>
      </c>
      <c r="W17" s="14"/>
      <c r="X17" s="14"/>
      <c r="Y17" s="14" t="s">
        <v>203</v>
      </c>
      <c r="Z17" s="15"/>
      <c r="AA17" s="14" t="n">
        <f aca="false">COUNTIFS('Post Plan'!$I$2:$I$348,B17,'Post Plan'!$V$2:$V$348,"Published")</f>
        <v>0</v>
      </c>
      <c r="AB17" s="12"/>
    </row>
    <row r="18" customFormat="false" ht="23.85" hidden="false" customHeight="false" outlineLevel="0" collapsed="false">
      <c r="A18" s="11" t="n">
        <v>17</v>
      </c>
      <c r="B18" s="18" t="s">
        <v>263</v>
      </c>
      <c r="C18" s="11" t="s">
        <v>220</v>
      </c>
      <c r="D18" s="11" t="s">
        <v>205</v>
      </c>
      <c r="E18" s="11" t="s">
        <v>204</v>
      </c>
      <c r="F18" s="12" t="s">
        <v>264</v>
      </c>
      <c r="G18" s="12" t="s">
        <v>265</v>
      </c>
      <c r="H18" s="11" t="s">
        <v>266</v>
      </c>
      <c r="I18" s="13" t="n">
        <v>210</v>
      </c>
      <c r="J18" s="19" t="n">
        <v>14</v>
      </c>
      <c r="K18" s="11" t="n">
        <f aca="false">COUNTIF('Post Plan'!$I$2:$I$348,B18)</f>
        <v>6</v>
      </c>
      <c r="L18" s="20" t="n">
        <f aca="false">COUNTIFS('Post Plan'!$I$2:$I$348,$B18,'Post Plan'!$J$2:$J$348,"Eat")</f>
        <v>2</v>
      </c>
      <c r="M18" s="20" t="n">
        <f aca="false">COUNTIFS('Post Plan'!$I$2:$I$348,$B18,'Post Plan'!$J$2:$J$348,"Drink")</f>
        <v>2</v>
      </c>
      <c r="N18" s="20" t="n">
        <f aca="false">COUNTIFS('Post Plan'!$I$2:$I$348,$B18,'Post Plan'!$J$2:$J$348,"Explore nearby")</f>
        <v>1</v>
      </c>
      <c r="O18" s="20" t="n">
        <f aca="false">COUNTIFS('Post Plan'!$I$2:$I$348,$B18,'Post Plan'!$J$2:$J$348,"See &amp; do")</f>
        <v>0</v>
      </c>
      <c r="P18" s="20" t="n">
        <f aca="false">COUNTIFS('Post Plan'!$I$2:$I$348,$B18,'Post Plan'!$J$2:$J$348,"Beaches &amp; islands")</f>
        <v>1</v>
      </c>
      <c r="Q18" s="20" t="n">
        <f aca="false">COUNTIFS('Post Plan'!$I$2:$I$348,$B18,'Post Plan'!$J$2:$J$348,"Towns, villages &amp; nature")</f>
        <v>0</v>
      </c>
      <c r="R18" s="13" t="n">
        <f aca="false">SUMIF('Post Plan'!$I$2:$I$348,B18,'Post Plan'!$M$2:$M$348)</f>
        <v>3580</v>
      </c>
      <c r="S18" s="21" t="n">
        <f aca="false">SUMIF('Post Plan'!$I$2:$I$348,B18,'Post Plan'!$O$2:$O$348)</f>
        <v>188.626749316443</v>
      </c>
      <c r="T18" s="11" t="n">
        <f aca="false">COUNTIFS('Post Plan'!$I$2:$I$348,B18,'Post Plan'!$B$2:$B$348,"Wave 1")</f>
        <v>2</v>
      </c>
      <c r="U18" s="11" t="n">
        <v>8</v>
      </c>
      <c r="V18" s="12" t="s">
        <v>245</v>
      </c>
      <c r="W18" s="14"/>
      <c r="X18" s="14"/>
      <c r="Y18" s="14" t="s">
        <v>203</v>
      </c>
      <c r="Z18" s="15"/>
      <c r="AA18" s="14" t="n">
        <f aca="false">COUNTIFS('Post Plan'!$I$2:$I$348,B18,'Post Plan'!$V$2:$V$348,"Published")</f>
        <v>0</v>
      </c>
      <c r="AB18" s="12"/>
    </row>
    <row r="19" customFormat="false" ht="23.85" hidden="false" customHeight="false" outlineLevel="0" collapsed="false">
      <c r="A19" s="11" t="n">
        <v>18</v>
      </c>
      <c r="B19" s="18" t="s">
        <v>267</v>
      </c>
      <c r="C19" s="11" t="s">
        <v>220</v>
      </c>
      <c r="D19" s="11" t="s">
        <v>205</v>
      </c>
      <c r="E19" s="11" t="s">
        <v>232</v>
      </c>
      <c r="F19" s="12" t="s">
        <v>199</v>
      </c>
      <c r="G19" s="12" t="s">
        <v>268</v>
      </c>
      <c r="H19" s="11" t="s">
        <v>269</v>
      </c>
      <c r="I19" s="13" t="n">
        <v>350</v>
      </c>
      <c r="J19" s="19" t="n">
        <v>22.8</v>
      </c>
      <c r="K19" s="11" t="n">
        <f aca="false">COUNTIF('Post Plan'!$I$2:$I$348,B19)</f>
        <v>5</v>
      </c>
      <c r="L19" s="20" t="n">
        <f aca="false">COUNTIFS('Post Plan'!$I$2:$I$348,$B19,'Post Plan'!$J$2:$J$348,"Eat")</f>
        <v>3</v>
      </c>
      <c r="M19" s="20" t="n">
        <f aca="false">COUNTIFS('Post Plan'!$I$2:$I$348,$B19,'Post Plan'!$J$2:$J$348,"Drink")</f>
        <v>2</v>
      </c>
      <c r="N19" s="20" t="n">
        <f aca="false">COUNTIFS('Post Plan'!$I$2:$I$348,$B19,'Post Plan'!$J$2:$J$348,"Explore nearby")</f>
        <v>0</v>
      </c>
      <c r="O19" s="20" t="n">
        <f aca="false">COUNTIFS('Post Plan'!$I$2:$I$348,$B19,'Post Plan'!$J$2:$J$348,"See &amp; do")</f>
        <v>0</v>
      </c>
      <c r="P19" s="20" t="n">
        <f aca="false">COUNTIFS('Post Plan'!$I$2:$I$348,$B19,'Post Plan'!$J$2:$J$348,"Beaches &amp; islands")</f>
        <v>0</v>
      </c>
      <c r="Q19" s="20" t="n">
        <f aca="false">COUNTIFS('Post Plan'!$I$2:$I$348,$B19,'Post Plan'!$J$2:$J$348,"Towns, villages &amp; nature")</f>
        <v>0</v>
      </c>
      <c r="R19" s="13" t="n">
        <f aca="false">SUMIF('Post Plan'!$I$2:$I$348,B19,'Post Plan'!$M$2:$M$348)</f>
        <v>3200</v>
      </c>
      <c r="S19" s="21" t="n">
        <f aca="false">SUMIF('Post Plan'!$I$2:$I$348,B19,'Post Plan'!$O$2:$O$348)</f>
        <v>187.996951219512</v>
      </c>
      <c r="T19" s="11" t="n">
        <f aca="false">COUNTIFS('Post Plan'!$I$2:$I$348,B19,'Post Plan'!$B$2:$B$348,"Wave 1")</f>
        <v>3</v>
      </c>
      <c r="U19" s="11" t="n">
        <v>29</v>
      </c>
      <c r="V19" s="12" t="s">
        <v>223</v>
      </c>
      <c r="W19" s="14"/>
      <c r="X19" s="14"/>
      <c r="Y19" s="14" t="s">
        <v>203</v>
      </c>
      <c r="Z19" s="15"/>
      <c r="AA19" s="14" t="n">
        <f aca="false">COUNTIFS('Post Plan'!$I$2:$I$348,B19,'Post Plan'!$V$2:$V$348,"Published")</f>
        <v>0</v>
      </c>
      <c r="AB19" s="12"/>
    </row>
    <row r="20" customFormat="false" ht="23.85" hidden="false" customHeight="false" outlineLevel="0" collapsed="false">
      <c r="A20" s="11" t="n">
        <v>19</v>
      </c>
      <c r="B20" s="18" t="s">
        <v>270</v>
      </c>
      <c r="C20" s="11" t="s">
        <v>220</v>
      </c>
      <c r="D20" s="11" t="s">
        <v>205</v>
      </c>
      <c r="E20" s="11" t="s">
        <v>232</v>
      </c>
      <c r="F20" s="12" t="s">
        <v>199</v>
      </c>
      <c r="G20" s="12" t="s">
        <v>271</v>
      </c>
      <c r="H20" s="11" t="s">
        <v>272</v>
      </c>
      <c r="I20" s="13" t="n">
        <v>460</v>
      </c>
      <c r="J20" s="19" t="n">
        <v>18.8</v>
      </c>
      <c r="K20" s="11" t="n">
        <f aca="false">COUNTIF('Post Plan'!$I$2:$I$348,B20)</f>
        <v>6</v>
      </c>
      <c r="L20" s="20" t="n">
        <f aca="false">COUNTIFS('Post Plan'!$I$2:$I$348,$B20,'Post Plan'!$J$2:$J$348,"Eat")</f>
        <v>4</v>
      </c>
      <c r="M20" s="20" t="n">
        <f aca="false">COUNTIFS('Post Plan'!$I$2:$I$348,$B20,'Post Plan'!$J$2:$J$348,"Drink")</f>
        <v>0</v>
      </c>
      <c r="N20" s="20" t="n">
        <f aca="false">COUNTIFS('Post Plan'!$I$2:$I$348,$B20,'Post Plan'!$J$2:$J$348,"Explore nearby")</f>
        <v>1</v>
      </c>
      <c r="O20" s="20" t="n">
        <f aca="false">COUNTIFS('Post Plan'!$I$2:$I$348,$B20,'Post Plan'!$J$2:$J$348,"See &amp; do")</f>
        <v>1</v>
      </c>
      <c r="P20" s="20" t="n">
        <f aca="false">COUNTIFS('Post Plan'!$I$2:$I$348,$B20,'Post Plan'!$J$2:$J$348,"Beaches &amp; islands")</f>
        <v>0</v>
      </c>
      <c r="Q20" s="20" t="n">
        <f aca="false">COUNTIFS('Post Plan'!$I$2:$I$348,$B20,'Post Plan'!$J$2:$J$348,"Towns, villages &amp; nature")</f>
        <v>0</v>
      </c>
      <c r="R20" s="13" t="n">
        <f aca="false">SUMIF('Post Plan'!$I$2:$I$348,B20,'Post Plan'!$M$2:$M$348)</f>
        <v>3330</v>
      </c>
      <c r="S20" s="21" t="n">
        <f aca="false">SUMIF('Post Plan'!$I$2:$I$348,B20,'Post Plan'!$O$2:$O$348)</f>
        <v>181.640377381933</v>
      </c>
      <c r="T20" s="11" t="n">
        <f aca="false">COUNTIFS('Post Plan'!$I$2:$I$348,B20,'Post Plan'!$B$2:$B$348,"Wave 1")</f>
        <v>4</v>
      </c>
      <c r="U20" s="11" t="n">
        <v>55</v>
      </c>
      <c r="V20" s="12" t="s">
        <v>223</v>
      </c>
      <c r="W20" s="14"/>
      <c r="X20" s="14"/>
      <c r="Y20" s="14" t="s">
        <v>203</v>
      </c>
      <c r="Z20" s="15"/>
      <c r="AA20" s="14" t="n">
        <f aca="false">COUNTIFS('Post Plan'!$I$2:$I$348,B20,'Post Plan'!$V$2:$V$348,"Published")</f>
        <v>0</v>
      </c>
      <c r="AB20" s="12"/>
    </row>
    <row r="21" customFormat="false" ht="23.85" hidden="false" customHeight="false" outlineLevel="0" collapsed="false">
      <c r="A21" s="11" t="n">
        <v>20</v>
      </c>
      <c r="B21" s="18" t="s">
        <v>115</v>
      </c>
      <c r="C21" s="11" t="s">
        <v>220</v>
      </c>
      <c r="D21" s="11" t="s">
        <v>205</v>
      </c>
      <c r="E21" s="11" t="s">
        <v>205</v>
      </c>
      <c r="F21" s="12" t="s">
        <v>273</v>
      </c>
      <c r="G21" s="12" t="s">
        <v>274</v>
      </c>
      <c r="H21" s="11" t="s">
        <v>275</v>
      </c>
      <c r="I21" s="13"/>
      <c r="J21" s="19"/>
      <c r="K21" s="11" t="n">
        <f aca="false">COUNTIF('Post Plan'!$I$2:$I$348,B21)</f>
        <v>6</v>
      </c>
      <c r="L21" s="20" t="n">
        <f aca="false">COUNTIFS('Post Plan'!$I$2:$I$348,$B21,'Post Plan'!$J$2:$J$348,"Eat")</f>
        <v>4</v>
      </c>
      <c r="M21" s="20" t="n">
        <f aca="false">COUNTIFS('Post Plan'!$I$2:$I$348,$B21,'Post Plan'!$J$2:$J$348,"Drink")</f>
        <v>1</v>
      </c>
      <c r="N21" s="20" t="n">
        <f aca="false">COUNTIFS('Post Plan'!$I$2:$I$348,$B21,'Post Plan'!$J$2:$J$348,"Explore nearby")</f>
        <v>1</v>
      </c>
      <c r="O21" s="20" t="n">
        <f aca="false">COUNTIFS('Post Plan'!$I$2:$I$348,$B21,'Post Plan'!$J$2:$J$348,"See &amp; do")</f>
        <v>0</v>
      </c>
      <c r="P21" s="20" t="n">
        <f aca="false">COUNTIFS('Post Plan'!$I$2:$I$348,$B21,'Post Plan'!$J$2:$J$348,"Beaches &amp; islands")</f>
        <v>0</v>
      </c>
      <c r="Q21" s="20" t="n">
        <f aca="false">COUNTIFS('Post Plan'!$I$2:$I$348,$B21,'Post Plan'!$J$2:$J$348,"Towns, villages &amp; nature")</f>
        <v>0</v>
      </c>
      <c r="R21" s="13" t="n">
        <f aca="false">SUMIF('Post Plan'!$I$2:$I$348,B21,'Post Plan'!$M$2:$M$348)</f>
        <v>2930</v>
      </c>
      <c r="S21" s="21" t="n">
        <f aca="false">SUMIF('Post Plan'!$I$2:$I$348,B21,'Post Plan'!$O$2:$O$348)</f>
        <v>164.302709797196</v>
      </c>
      <c r="T21" s="11" t="n">
        <f aca="false">COUNTIFS('Post Plan'!$I$2:$I$348,B21,'Post Plan'!$B$2:$B$348,"Wave 1")</f>
        <v>2</v>
      </c>
      <c r="U21" s="11" t="n">
        <v>15</v>
      </c>
      <c r="V21" s="12" t="s">
        <v>245</v>
      </c>
      <c r="W21" s="14"/>
      <c r="X21" s="14"/>
      <c r="Y21" s="14" t="s">
        <v>203</v>
      </c>
      <c r="Z21" s="15"/>
      <c r="AA21" s="14" t="n">
        <f aca="false">COUNTIFS('Post Plan'!$I$2:$I$348,B21,'Post Plan'!$V$2:$V$348,"Published")</f>
        <v>0</v>
      </c>
      <c r="AB21" s="12"/>
    </row>
    <row r="22" customFormat="false" ht="23.85" hidden="false" customHeight="false" outlineLevel="0" collapsed="false">
      <c r="A22" s="11" t="n">
        <v>21</v>
      </c>
      <c r="B22" s="18" t="s">
        <v>276</v>
      </c>
      <c r="C22" s="11" t="s">
        <v>197</v>
      </c>
      <c r="D22" s="11" t="s">
        <v>246</v>
      </c>
      <c r="E22" s="11" t="s">
        <v>246</v>
      </c>
      <c r="F22" s="12" t="s">
        <v>199</v>
      </c>
      <c r="G22" s="12" t="s">
        <v>277</v>
      </c>
      <c r="H22" s="11" t="s">
        <v>278</v>
      </c>
      <c r="I22" s="13" t="n">
        <v>460</v>
      </c>
      <c r="J22" s="19" t="n">
        <v>16</v>
      </c>
      <c r="K22" s="11" t="n">
        <f aca="false">COUNTIF('Post Plan'!$I$2:$I$348,B22)</f>
        <v>7</v>
      </c>
      <c r="L22" s="20" t="n">
        <f aca="false">COUNTIFS('Post Plan'!$I$2:$I$348,$B22,'Post Plan'!$J$2:$J$348,"Eat")</f>
        <v>5</v>
      </c>
      <c r="M22" s="20" t="n">
        <f aca="false">COUNTIFS('Post Plan'!$I$2:$I$348,$B22,'Post Plan'!$J$2:$J$348,"Drink")</f>
        <v>1</v>
      </c>
      <c r="N22" s="20" t="n">
        <f aca="false">COUNTIFS('Post Plan'!$I$2:$I$348,$B22,'Post Plan'!$J$2:$J$348,"Explore nearby")</f>
        <v>1</v>
      </c>
      <c r="O22" s="20" t="n">
        <f aca="false">COUNTIFS('Post Plan'!$I$2:$I$348,$B22,'Post Plan'!$J$2:$J$348,"See &amp; do")</f>
        <v>0</v>
      </c>
      <c r="P22" s="20" t="n">
        <f aca="false">COUNTIFS('Post Plan'!$I$2:$I$348,$B22,'Post Plan'!$J$2:$J$348,"Beaches &amp; islands")</f>
        <v>0</v>
      </c>
      <c r="Q22" s="20" t="n">
        <f aca="false">COUNTIFS('Post Plan'!$I$2:$I$348,$B22,'Post Plan'!$J$2:$J$348,"Towns, villages &amp; nature")</f>
        <v>0</v>
      </c>
      <c r="R22" s="13" t="n">
        <f aca="false">SUMIF('Post Plan'!$I$2:$I$348,B22,'Post Plan'!$M$2:$M$348)</f>
        <v>2830</v>
      </c>
      <c r="S22" s="21" t="n">
        <f aca="false">SUMIF('Post Plan'!$I$2:$I$348,B22,'Post Plan'!$O$2:$O$348)</f>
        <v>156.887924295389</v>
      </c>
      <c r="T22" s="11" t="n">
        <f aca="false">COUNTIFS('Post Plan'!$I$2:$I$348,B22,'Post Plan'!$B$2:$B$348,"Wave 1")</f>
        <v>2</v>
      </c>
      <c r="U22" s="11" t="n">
        <v>22</v>
      </c>
      <c r="V22" s="12" t="s">
        <v>223</v>
      </c>
      <c r="W22" s="14"/>
      <c r="X22" s="14"/>
      <c r="Y22" s="14" t="s">
        <v>203</v>
      </c>
      <c r="Z22" s="15"/>
      <c r="AA22" s="14" t="n">
        <f aca="false">COUNTIFS('Post Plan'!$I$2:$I$348,B22,'Post Plan'!$V$2:$V$348,"Published")</f>
        <v>0</v>
      </c>
      <c r="AB22" s="12"/>
    </row>
    <row r="23" customFormat="false" ht="23.85" hidden="false" customHeight="false" outlineLevel="0" collapsed="false">
      <c r="A23" s="11" t="n">
        <v>22</v>
      </c>
      <c r="B23" s="18" t="s">
        <v>279</v>
      </c>
      <c r="C23" s="11" t="s">
        <v>220</v>
      </c>
      <c r="D23" s="11" t="s">
        <v>215</v>
      </c>
      <c r="E23" s="11" t="s">
        <v>214</v>
      </c>
      <c r="F23" s="12" t="s">
        <v>199</v>
      </c>
      <c r="G23" s="12" t="s">
        <v>280</v>
      </c>
      <c r="H23" s="11" t="s">
        <v>281</v>
      </c>
      <c r="I23" s="13" t="n">
        <v>590</v>
      </c>
      <c r="J23" s="19" t="n">
        <v>13</v>
      </c>
      <c r="K23" s="11" t="n">
        <f aca="false">COUNTIF('Post Plan'!$I$2:$I$348,B23)</f>
        <v>6</v>
      </c>
      <c r="L23" s="20" t="n">
        <f aca="false">COUNTIFS('Post Plan'!$I$2:$I$348,$B23,'Post Plan'!$J$2:$J$348,"Eat")</f>
        <v>4</v>
      </c>
      <c r="M23" s="20" t="n">
        <f aca="false">COUNTIFS('Post Plan'!$I$2:$I$348,$B23,'Post Plan'!$J$2:$J$348,"Drink")</f>
        <v>1</v>
      </c>
      <c r="N23" s="20" t="n">
        <f aca="false">COUNTIFS('Post Plan'!$I$2:$I$348,$B23,'Post Plan'!$J$2:$J$348,"Explore nearby")</f>
        <v>0</v>
      </c>
      <c r="O23" s="20" t="n">
        <f aca="false">COUNTIFS('Post Plan'!$I$2:$I$348,$B23,'Post Plan'!$J$2:$J$348,"See &amp; do")</f>
        <v>1</v>
      </c>
      <c r="P23" s="20" t="n">
        <f aca="false">COUNTIFS('Post Plan'!$I$2:$I$348,$B23,'Post Plan'!$J$2:$J$348,"Beaches &amp; islands")</f>
        <v>0</v>
      </c>
      <c r="Q23" s="20" t="n">
        <f aca="false">COUNTIFS('Post Plan'!$I$2:$I$348,$B23,'Post Plan'!$J$2:$J$348,"Towns, villages &amp; nature")</f>
        <v>0</v>
      </c>
      <c r="R23" s="13" t="n">
        <f aca="false">SUMIF('Post Plan'!$I$2:$I$348,B23,'Post Plan'!$M$2:$M$348)</f>
        <v>4220</v>
      </c>
      <c r="S23" s="21" t="n">
        <f aca="false">SUMIF('Post Plan'!$I$2:$I$348,B23,'Post Plan'!$O$2:$O$348)</f>
        <v>149.944365572289</v>
      </c>
      <c r="T23" s="11" t="n">
        <f aca="false">COUNTIFS('Post Plan'!$I$2:$I$348,B23,'Post Plan'!$B$2:$B$348,"Wave 1")</f>
        <v>2</v>
      </c>
      <c r="U23" s="11" t="n">
        <v>26</v>
      </c>
      <c r="V23" s="12" t="s">
        <v>223</v>
      </c>
      <c r="W23" s="14"/>
      <c r="X23" s="14"/>
      <c r="Y23" s="14" t="s">
        <v>203</v>
      </c>
      <c r="Z23" s="15"/>
      <c r="AA23" s="14" t="n">
        <f aca="false">COUNTIFS('Post Plan'!$I$2:$I$348,B23,'Post Plan'!$V$2:$V$348,"Published")</f>
        <v>0</v>
      </c>
      <c r="AB23" s="12"/>
    </row>
    <row r="24" customFormat="false" ht="23.85" hidden="false" customHeight="false" outlineLevel="0" collapsed="false">
      <c r="A24" s="11" t="n">
        <v>23</v>
      </c>
      <c r="B24" s="18" t="s">
        <v>282</v>
      </c>
      <c r="C24" s="11" t="s">
        <v>220</v>
      </c>
      <c r="D24" s="11" t="s">
        <v>205</v>
      </c>
      <c r="E24" s="11" t="s">
        <v>283</v>
      </c>
      <c r="F24" s="12" t="s">
        <v>284</v>
      </c>
      <c r="G24" s="12" t="s">
        <v>285</v>
      </c>
      <c r="H24" s="11" t="s">
        <v>286</v>
      </c>
      <c r="I24" s="13"/>
      <c r="J24" s="19"/>
      <c r="K24" s="11" t="n">
        <f aca="false">COUNTIF('Post Plan'!$I$2:$I$348,B24)</f>
        <v>6</v>
      </c>
      <c r="L24" s="20" t="n">
        <f aca="false">COUNTIFS('Post Plan'!$I$2:$I$348,$B24,'Post Plan'!$J$2:$J$348,"Eat")</f>
        <v>3</v>
      </c>
      <c r="M24" s="20" t="n">
        <f aca="false">COUNTIFS('Post Plan'!$I$2:$I$348,$B24,'Post Plan'!$J$2:$J$348,"Drink")</f>
        <v>2</v>
      </c>
      <c r="N24" s="20" t="n">
        <f aca="false">COUNTIFS('Post Plan'!$I$2:$I$348,$B24,'Post Plan'!$J$2:$J$348,"Explore nearby")</f>
        <v>1</v>
      </c>
      <c r="O24" s="20" t="n">
        <f aca="false">COUNTIFS('Post Plan'!$I$2:$I$348,$B24,'Post Plan'!$J$2:$J$348,"See &amp; do")</f>
        <v>0</v>
      </c>
      <c r="P24" s="20" t="n">
        <f aca="false">COUNTIFS('Post Plan'!$I$2:$I$348,$B24,'Post Plan'!$J$2:$J$348,"Beaches &amp; islands")</f>
        <v>0</v>
      </c>
      <c r="Q24" s="20" t="n">
        <f aca="false">COUNTIFS('Post Plan'!$I$2:$I$348,$B24,'Post Plan'!$J$2:$J$348,"Towns, villages &amp; nature")</f>
        <v>0</v>
      </c>
      <c r="R24" s="13" t="n">
        <f aca="false">SUMIF('Post Plan'!$I$2:$I$348,B24,'Post Plan'!$M$2:$M$348)</f>
        <v>2780</v>
      </c>
      <c r="S24" s="21" t="n">
        <f aca="false">SUMIF('Post Plan'!$I$2:$I$348,B24,'Post Plan'!$O$2:$O$348)</f>
        <v>145.259009265588</v>
      </c>
      <c r="T24" s="11" t="n">
        <f aca="false">COUNTIFS('Post Plan'!$I$2:$I$348,B24,'Post Plan'!$B$2:$B$348,"Wave 1")</f>
        <v>2</v>
      </c>
      <c r="U24" s="11" t="n">
        <v>50</v>
      </c>
      <c r="V24" s="12" t="s">
        <v>245</v>
      </c>
      <c r="W24" s="14"/>
      <c r="X24" s="14"/>
      <c r="Y24" s="14" t="s">
        <v>203</v>
      </c>
      <c r="Z24" s="15"/>
      <c r="AA24" s="14" t="n">
        <f aca="false">COUNTIFS('Post Plan'!$I$2:$I$348,B24,'Post Plan'!$V$2:$V$348,"Published")</f>
        <v>0</v>
      </c>
      <c r="AB24" s="12"/>
    </row>
    <row r="25" customFormat="false" ht="23.85" hidden="false" customHeight="false" outlineLevel="0" collapsed="false">
      <c r="A25" s="11" t="n">
        <v>24</v>
      </c>
      <c r="B25" s="18" t="s">
        <v>287</v>
      </c>
      <c r="C25" s="11" t="s">
        <v>220</v>
      </c>
      <c r="D25" s="11" t="s">
        <v>205</v>
      </c>
      <c r="E25" s="11" t="s">
        <v>205</v>
      </c>
      <c r="F25" s="12" t="s">
        <v>199</v>
      </c>
      <c r="G25" s="12" t="s">
        <v>288</v>
      </c>
      <c r="H25" s="11" t="s">
        <v>289</v>
      </c>
      <c r="I25" s="13" t="n">
        <v>490</v>
      </c>
      <c r="J25" s="19" t="n">
        <v>25.1</v>
      </c>
      <c r="K25" s="11" t="n">
        <f aca="false">COUNTIF('Post Plan'!$I$2:$I$348,B25)</f>
        <v>3</v>
      </c>
      <c r="L25" s="20" t="n">
        <f aca="false">COUNTIFS('Post Plan'!$I$2:$I$348,$B25,'Post Plan'!$J$2:$J$348,"Eat")</f>
        <v>2</v>
      </c>
      <c r="M25" s="20" t="n">
        <f aca="false">COUNTIFS('Post Plan'!$I$2:$I$348,$B25,'Post Plan'!$J$2:$J$348,"Drink")</f>
        <v>1</v>
      </c>
      <c r="N25" s="20" t="n">
        <f aca="false">COUNTIFS('Post Plan'!$I$2:$I$348,$B25,'Post Plan'!$J$2:$J$348,"Explore nearby")</f>
        <v>0</v>
      </c>
      <c r="O25" s="20" t="n">
        <f aca="false">COUNTIFS('Post Plan'!$I$2:$I$348,$B25,'Post Plan'!$J$2:$J$348,"See &amp; do")</f>
        <v>0</v>
      </c>
      <c r="P25" s="20" t="n">
        <f aca="false">COUNTIFS('Post Plan'!$I$2:$I$348,$B25,'Post Plan'!$J$2:$J$348,"Beaches &amp; islands")</f>
        <v>0</v>
      </c>
      <c r="Q25" s="20" t="n">
        <f aca="false">COUNTIFS('Post Plan'!$I$2:$I$348,$B25,'Post Plan'!$J$2:$J$348,"Towns, villages &amp; nature")</f>
        <v>0</v>
      </c>
      <c r="R25" s="13" t="n">
        <f aca="false">SUMIF('Post Plan'!$I$2:$I$348,B25,'Post Plan'!$M$2:$M$348)</f>
        <v>2290</v>
      </c>
      <c r="S25" s="21" t="n">
        <f aca="false">SUMIF('Post Plan'!$I$2:$I$348,B25,'Post Plan'!$O$2:$O$348)</f>
        <v>141.373918010025</v>
      </c>
      <c r="T25" s="11" t="n">
        <f aca="false">COUNTIFS('Post Plan'!$I$2:$I$348,B25,'Post Plan'!$B$2:$B$348,"Wave 1")</f>
        <v>2</v>
      </c>
      <c r="U25" s="11" t="n">
        <v>5</v>
      </c>
      <c r="V25" s="12" t="s">
        <v>223</v>
      </c>
      <c r="W25" s="14"/>
      <c r="X25" s="14"/>
      <c r="Y25" s="14" t="s">
        <v>203</v>
      </c>
      <c r="Z25" s="15"/>
      <c r="AA25" s="14" t="n">
        <f aca="false">COUNTIFS('Post Plan'!$I$2:$I$348,B25,'Post Plan'!$V$2:$V$348,"Published")</f>
        <v>0</v>
      </c>
      <c r="AB25" s="12"/>
    </row>
    <row r="26" customFormat="false" ht="23.85" hidden="false" customHeight="false" outlineLevel="0" collapsed="false">
      <c r="A26" s="11" t="n">
        <v>25</v>
      </c>
      <c r="B26" s="18" t="s">
        <v>290</v>
      </c>
      <c r="C26" s="11" t="s">
        <v>220</v>
      </c>
      <c r="D26" s="11" t="s">
        <v>215</v>
      </c>
      <c r="E26" s="11" t="s">
        <v>214</v>
      </c>
      <c r="F26" s="12" t="s">
        <v>291</v>
      </c>
      <c r="G26" s="12" t="s">
        <v>292</v>
      </c>
      <c r="H26" s="11" t="s">
        <v>293</v>
      </c>
      <c r="I26" s="13"/>
      <c r="J26" s="19"/>
      <c r="K26" s="11" t="n">
        <f aca="false">COUNTIF('Post Plan'!$I$2:$I$348,B26)</f>
        <v>7</v>
      </c>
      <c r="L26" s="20" t="n">
        <f aca="false">COUNTIFS('Post Plan'!$I$2:$I$348,$B26,'Post Plan'!$J$2:$J$348,"Eat")</f>
        <v>4</v>
      </c>
      <c r="M26" s="20" t="n">
        <f aca="false">COUNTIFS('Post Plan'!$I$2:$I$348,$B26,'Post Plan'!$J$2:$J$348,"Drink")</f>
        <v>2</v>
      </c>
      <c r="N26" s="20" t="n">
        <f aca="false">COUNTIFS('Post Plan'!$I$2:$I$348,$B26,'Post Plan'!$J$2:$J$348,"Explore nearby")</f>
        <v>1</v>
      </c>
      <c r="O26" s="20" t="n">
        <f aca="false">COUNTIFS('Post Plan'!$I$2:$I$348,$B26,'Post Plan'!$J$2:$J$348,"See &amp; do")</f>
        <v>0</v>
      </c>
      <c r="P26" s="20" t="n">
        <f aca="false">COUNTIFS('Post Plan'!$I$2:$I$348,$B26,'Post Plan'!$J$2:$J$348,"Beaches &amp; islands")</f>
        <v>0</v>
      </c>
      <c r="Q26" s="20" t="n">
        <f aca="false">COUNTIFS('Post Plan'!$I$2:$I$348,$B26,'Post Plan'!$J$2:$J$348,"Towns, villages &amp; nature")</f>
        <v>0</v>
      </c>
      <c r="R26" s="13" t="n">
        <f aca="false">SUMIF('Post Plan'!$I$2:$I$348,B26,'Post Plan'!$M$2:$M$348)</f>
        <v>3570</v>
      </c>
      <c r="S26" s="21" t="n">
        <f aca="false">SUMIF('Post Plan'!$I$2:$I$348,B26,'Post Plan'!$O$2:$O$348)</f>
        <v>135.214111495381</v>
      </c>
      <c r="T26" s="11" t="n">
        <f aca="false">COUNTIFS('Post Plan'!$I$2:$I$348,B26,'Post Plan'!$B$2:$B$348,"Wave 1")</f>
        <v>2</v>
      </c>
      <c r="U26" s="11" t="n">
        <v>69</v>
      </c>
      <c r="V26" s="12" t="s">
        <v>245</v>
      </c>
      <c r="W26" s="14"/>
      <c r="X26" s="14"/>
      <c r="Y26" s="14" t="s">
        <v>203</v>
      </c>
      <c r="Z26" s="15"/>
      <c r="AA26" s="14" t="n">
        <f aca="false">COUNTIFS('Post Plan'!$I$2:$I$348,B26,'Post Plan'!$V$2:$V$348,"Published")</f>
        <v>0</v>
      </c>
      <c r="AB26" s="12"/>
    </row>
    <row r="27" customFormat="false" ht="23.85" hidden="false" customHeight="false" outlineLevel="0" collapsed="false">
      <c r="A27" s="11" t="n">
        <v>26</v>
      </c>
      <c r="B27" s="18" t="s">
        <v>124</v>
      </c>
      <c r="C27" s="11" t="s">
        <v>220</v>
      </c>
      <c r="D27" s="11" t="s">
        <v>205</v>
      </c>
      <c r="E27" s="11" t="s">
        <v>205</v>
      </c>
      <c r="F27" s="12" t="s">
        <v>199</v>
      </c>
      <c r="G27" s="12" t="s">
        <v>294</v>
      </c>
      <c r="H27" s="11" t="s">
        <v>295</v>
      </c>
      <c r="I27" s="13" t="n">
        <v>740</v>
      </c>
      <c r="J27" s="19" t="n">
        <v>9.1</v>
      </c>
      <c r="K27" s="11" t="n">
        <f aca="false">COUNTIF('Post Plan'!$I$2:$I$348,B27)</f>
        <v>3</v>
      </c>
      <c r="L27" s="20" t="n">
        <f aca="false">COUNTIFS('Post Plan'!$I$2:$I$348,$B27,'Post Plan'!$J$2:$J$348,"Eat")</f>
        <v>2</v>
      </c>
      <c r="M27" s="20" t="n">
        <f aca="false">COUNTIFS('Post Plan'!$I$2:$I$348,$B27,'Post Plan'!$J$2:$J$348,"Drink")</f>
        <v>1</v>
      </c>
      <c r="N27" s="20" t="n">
        <f aca="false">COUNTIFS('Post Plan'!$I$2:$I$348,$B27,'Post Plan'!$J$2:$J$348,"Explore nearby")</f>
        <v>0</v>
      </c>
      <c r="O27" s="20" t="n">
        <f aca="false">COUNTIFS('Post Plan'!$I$2:$I$348,$B27,'Post Plan'!$J$2:$J$348,"See &amp; do")</f>
        <v>0</v>
      </c>
      <c r="P27" s="20" t="n">
        <f aca="false">COUNTIFS('Post Plan'!$I$2:$I$348,$B27,'Post Plan'!$J$2:$J$348,"Beaches &amp; islands")</f>
        <v>0</v>
      </c>
      <c r="Q27" s="20" t="n">
        <f aca="false">COUNTIFS('Post Plan'!$I$2:$I$348,$B27,'Post Plan'!$J$2:$J$348,"Towns, villages &amp; nature")</f>
        <v>0</v>
      </c>
      <c r="R27" s="13" t="n">
        <f aca="false">SUMIF('Post Plan'!$I$2:$I$348,B27,'Post Plan'!$M$2:$M$348)</f>
        <v>2160</v>
      </c>
      <c r="S27" s="21" t="n">
        <f aca="false">SUMIF('Post Plan'!$I$2:$I$348,B27,'Post Plan'!$O$2:$O$348)</f>
        <v>127.394868256784</v>
      </c>
      <c r="T27" s="11" t="n">
        <f aca="false">COUNTIFS('Post Plan'!$I$2:$I$348,B27,'Post Plan'!$B$2:$B$348,"Wave 1")</f>
        <v>2</v>
      </c>
      <c r="U27" s="11" t="n">
        <v>16</v>
      </c>
      <c r="V27" s="12" t="s">
        <v>223</v>
      </c>
      <c r="W27" s="14"/>
      <c r="X27" s="14"/>
      <c r="Y27" s="14" t="s">
        <v>203</v>
      </c>
      <c r="Z27" s="15"/>
      <c r="AA27" s="14" t="n">
        <f aca="false">COUNTIFS('Post Plan'!$I$2:$I$348,B27,'Post Plan'!$V$2:$V$348,"Published")</f>
        <v>0</v>
      </c>
      <c r="AB27" s="12"/>
    </row>
    <row r="28" customFormat="false" ht="23.85" hidden="false" customHeight="false" outlineLevel="0" collapsed="false">
      <c r="A28" s="11" t="n">
        <v>27</v>
      </c>
      <c r="B28" s="18" t="s">
        <v>142</v>
      </c>
      <c r="C28" s="11" t="s">
        <v>220</v>
      </c>
      <c r="D28" s="11" t="s">
        <v>205</v>
      </c>
      <c r="E28" s="11" t="s">
        <v>205</v>
      </c>
      <c r="F28" s="12" t="s">
        <v>199</v>
      </c>
      <c r="G28" s="12" t="s">
        <v>296</v>
      </c>
      <c r="H28" s="11" t="s">
        <v>297</v>
      </c>
      <c r="I28" s="13"/>
      <c r="J28" s="19"/>
      <c r="K28" s="11" t="n">
        <f aca="false">COUNTIF('Post Plan'!$I$2:$I$348,B28)</f>
        <v>3</v>
      </c>
      <c r="L28" s="20" t="n">
        <f aca="false">COUNTIFS('Post Plan'!$I$2:$I$348,$B28,'Post Plan'!$J$2:$J$348,"Eat")</f>
        <v>0</v>
      </c>
      <c r="M28" s="20" t="n">
        <f aca="false">COUNTIFS('Post Plan'!$I$2:$I$348,$B28,'Post Plan'!$J$2:$J$348,"Drink")</f>
        <v>2</v>
      </c>
      <c r="N28" s="20" t="n">
        <f aca="false">COUNTIFS('Post Plan'!$I$2:$I$348,$B28,'Post Plan'!$J$2:$J$348,"Explore nearby")</f>
        <v>1</v>
      </c>
      <c r="O28" s="20" t="n">
        <f aca="false">COUNTIFS('Post Plan'!$I$2:$I$348,$B28,'Post Plan'!$J$2:$J$348,"See &amp; do")</f>
        <v>0</v>
      </c>
      <c r="P28" s="20" t="n">
        <f aca="false">COUNTIFS('Post Plan'!$I$2:$I$348,$B28,'Post Plan'!$J$2:$J$348,"Beaches &amp; islands")</f>
        <v>0</v>
      </c>
      <c r="Q28" s="20" t="n">
        <f aca="false">COUNTIFS('Post Plan'!$I$2:$I$348,$B28,'Post Plan'!$J$2:$J$348,"Towns, villages &amp; nature")</f>
        <v>0</v>
      </c>
      <c r="R28" s="13" t="n">
        <f aca="false">SUMIF('Post Plan'!$I$2:$I$348,B28,'Post Plan'!$M$2:$M$348)</f>
        <v>2410</v>
      </c>
      <c r="S28" s="21" t="n">
        <f aca="false">SUMIF('Post Plan'!$I$2:$I$348,B28,'Post Plan'!$O$2:$O$348)</f>
        <v>126.871029445544</v>
      </c>
      <c r="T28" s="11" t="n">
        <f aca="false">COUNTIFS('Post Plan'!$I$2:$I$348,B28,'Post Plan'!$B$2:$B$348,"Wave 1")</f>
        <v>2</v>
      </c>
      <c r="U28" s="11" t="n">
        <v>27</v>
      </c>
      <c r="V28" s="12" t="s">
        <v>223</v>
      </c>
      <c r="W28" s="14"/>
      <c r="X28" s="14"/>
      <c r="Y28" s="14" t="s">
        <v>203</v>
      </c>
      <c r="Z28" s="15"/>
      <c r="AA28" s="14" t="n">
        <f aca="false">COUNTIFS('Post Plan'!$I$2:$I$348,B28,'Post Plan'!$V$2:$V$348,"Published")</f>
        <v>0</v>
      </c>
      <c r="AB28" s="12"/>
    </row>
    <row r="29" customFormat="false" ht="23.85" hidden="false" customHeight="false" outlineLevel="0" collapsed="false">
      <c r="A29" s="11" t="n">
        <v>28</v>
      </c>
      <c r="B29" s="18" t="s">
        <v>298</v>
      </c>
      <c r="C29" s="11" t="s">
        <v>220</v>
      </c>
      <c r="D29" s="11" t="s">
        <v>215</v>
      </c>
      <c r="E29" s="11" t="s">
        <v>214</v>
      </c>
      <c r="F29" s="12" t="s">
        <v>199</v>
      </c>
      <c r="G29" s="12" t="s">
        <v>299</v>
      </c>
      <c r="H29" s="11" t="s">
        <v>300</v>
      </c>
      <c r="I29" s="13"/>
      <c r="J29" s="19"/>
      <c r="K29" s="11" t="n">
        <f aca="false">COUNTIF('Post Plan'!$I$2:$I$348,B29)</f>
        <v>8</v>
      </c>
      <c r="L29" s="20" t="n">
        <f aca="false">COUNTIFS('Post Plan'!$I$2:$I$348,$B29,'Post Plan'!$J$2:$J$348,"Eat")</f>
        <v>5</v>
      </c>
      <c r="M29" s="20" t="n">
        <f aca="false">COUNTIFS('Post Plan'!$I$2:$I$348,$B29,'Post Plan'!$J$2:$J$348,"Drink")</f>
        <v>2</v>
      </c>
      <c r="N29" s="20" t="n">
        <f aca="false">COUNTIFS('Post Plan'!$I$2:$I$348,$B29,'Post Plan'!$J$2:$J$348,"Explore nearby")</f>
        <v>0</v>
      </c>
      <c r="O29" s="20" t="n">
        <f aca="false">COUNTIFS('Post Plan'!$I$2:$I$348,$B29,'Post Plan'!$J$2:$J$348,"See &amp; do")</f>
        <v>1</v>
      </c>
      <c r="P29" s="20" t="n">
        <f aca="false">COUNTIFS('Post Plan'!$I$2:$I$348,$B29,'Post Plan'!$J$2:$J$348,"Beaches &amp; islands")</f>
        <v>0</v>
      </c>
      <c r="Q29" s="20" t="n">
        <f aca="false">COUNTIFS('Post Plan'!$I$2:$I$348,$B29,'Post Plan'!$J$2:$J$348,"Towns, villages &amp; nature")</f>
        <v>0</v>
      </c>
      <c r="R29" s="13" t="n">
        <f aca="false">SUMIF('Post Plan'!$I$2:$I$348,B29,'Post Plan'!$M$2:$M$348)</f>
        <v>2960</v>
      </c>
      <c r="S29" s="21" t="n">
        <f aca="false">SUMIF('Post Plan'!$I$2:$I$348,B29,'Post Plan'!$O$2:$O$348)</f>
        <v>126.408130904236</v>
      </c>
      <c r="T29" s="11" t="n">
        <f aca="false">COUNTIFS('Post Plan'!$I$2:$I$348,B29,'Post Plan'!$B$2:$B$348,"Wave 1")</f>
        <v>0</v>
      </c>
      <c r="U29" s="11" t="n">
        <v>113</v>
      </c>
      <c r="V29" s="12" t="s">
        <v>223</v>
      </c>
      <c r="W29" s="14"/>
      <c r="X29" s="14"/>
      <c r="Y29" s="14" t="s">
        <v>203</v>
      </c>
      <c r="Z29" s="15"/>
      <c r="AA29" s="14" t="n">
        <f aca="false">COUNTIFS('Post Plan'!$I$2:$I$348,B29,'Post Plan'!$V$2:$V$348,"Published")</f>
        <v>0</v>
      </c>
      <c r="AB29" s="12"/>
    </row>
    <row r="30" customFormat="false" ht="23.85" hidden="false" customHeight="false" outlineLevel="0" collapsed="false">
      <c r="A30" s="11" t="n">
        <v>29</v>
      </c>
      <c r="B30" s="18" t="s">
        <v>301</v>
      </c>
      <c r="C30" s="11" t="s">
        <v>220</v>
      </c>
      <c r="D30" s="11" t="s">
        <v>205</v>
      </c>
      <c r="E30" s="11" t="s">
        <v>302</v>
      </c>
      <c r="F30" s="12" t="s">
        <v>199</v>
      </c>
      <c r="G30" s="12" t="s">
        <v>303</v>
      </c>
      <c r="H30" s="11" t="s">
        <v>304</v>
      </c>
      <c r="I30" s="13" t="n">
        <v>370</v>
      </c>
      <c r="J30" s="19" t="n">
        <v>31.2</v>
      </c>
      <c r="K30" s="11" t="n">
        <f aca="false">COUNTIF('Post Plan'!$I$2:$I$348,B30)</f>
        <v>4</v>
      </c>
      <c r="L30" s="20" t="n">
        <f aca="false">COUNTIFS('Post Plan'!$I$2:$I$348,$B30,'Post Plan'!$J$2:$J$348,"Eat")</f>
        <v>3</v>
      </c>
      <c r="M30" s="20" t="n">
        <f aca="false">COUNTIFS('Post Plan'!$I$2:$I$348,$B30,'Post Plan'!$J$2:$J$348,"Drink")</f>
        <v>1</v>
      </c>
      <c r="N30" s="20" t="n">
        <f aca="false">COUNTIFS('Post Plan'!$I$2:$I$348,$B30,'Post Plan'!$J$2:$J$348,"Explore nearby")</f>
        <v>0</v>
      </c>
      <c r="O30" s="20" t="n">
        <f aca="false">COUNTIFS('Post Plan'!$I$2:$I$348,$B30,'Post Plan'!$J$2:$J$348,"See &amp; do")</f>
        <v>0</v>
      </c>
      <c r="P30" s="20" t="n">
        <f aca="false">COUNTIFS('Post Plan'!$I$2:$I$348,$B30,'Post Plan'!$J$2:$J$348,"Beaches &amp; islands")</f>
        <v>0</v>
      </c>
      <c r="Q30" s="20" t="n">
        <f aca="false">COUNTIFS('Post Plan'!$I$2:$I$348,$B30,'Post Plan'!$J$2:$J$348,"Towns, villages &amp; nature")</f>
        <v>0</v>
      </c>
      <c r="R30" s="13" t="n">
        <f aca="false">SUMIF('Post Plan'!$I$2:$I$348,B30,'Post Plan'!$M$2:$M$348)</f>
        <v>2390</v>
      </c>
      <c r="S30" s="21" t="n">
        <f aca="false">SUMIF('Post Plan'!$I$2:$I$348,B30,'Post Plan'!$O$2:$O$348)</f>
        <v>117.223820887142</v>
      </c>
      <c r="T30" s="11" t="n">
        <f aca="false">COUNTIFS('Post Plan'!$I$2:$I$348,B30,'Post Plan'!$B$2:$B$348,"Wave 1")</f>
        <v>1</v>
      </c>
      <c r="U30" s="11" t="n">
        <v>77</v>
      </c>
      <c r="V30" s="12" t="s">
        <v>223</v>
      </c>
      <c r="W30" s="14"/>
      <c r="X30" s="14"/>
      <c r="Y30" s="14" t="s">
        <v>203</v>
      </c>
      <c r="Z30" s="15"/>
      <c r="AA30" s="14" t="n">
        <f aca="false">COUNTIFS('Post Plan'!$I$2:$I$348,B30,'Post Plan'!$V$2:$V$348,"Published")</f>
        <v>0</v>
      </c>
      <c r="AB30" s="12"/>
    </row>
    <row r="31" customFormat="false" ht="23.85" hidden="false" customHeight="false" outlineLevel="0" collapsed="false">
      <c r="A31" s="11" t="n">
        <v>30</v>
      </c>
      <c r="B31" s="18" t="s">
        <v>305</v>
      </c>
      <c r="C31" s="11" t="s">
        <v>220</v>
      </c>
      <c r="D31" s="11" t="s">
        <v>246</v>
      </c>
      <c r="E31" s="11" t="s">
        <v>247</v>
      </c>
      <c r="F31" s="12" t="s">
        <v>199</v>
      </c>
      <c r="G31" s="12" t="s">
        <v>306</v>
      </c>
      <c r="H31" s="11" t="s">
        <v>307</v>
      </c>
      <c r="I31" s="13" t="n">
        <v>430</v>
      </c>
      <c r="J31" s="19" t="n">
        <v>33.2</v>
      </c>
      <c r="K31" s="11" t="n">
        <f aca="false">COUNTIF('Post Plan'!$I$2:$I$348,B31)</f>
        <v>4</v>
      </c>
      <c r="L31" s="20" t="n">
        <f aca="false">COUNTIFS('Post Plan'!$I$2:$I$348,$B31,'Post Plan'!$J$2:$J$348,"Eat")</f>
        <v>2</v>
      </c>
      <c r="M31" s="20" t="n">
        <f aca="false">COUNTIFS('Post Plan'!$I$2:$I$348,$B31,'Post Plan'!$J$2:$J$348,"Drink")</f>
        <v>0</v>
      </c>
      <c r="N31" s="20" t="n">
        <f aca="false">COUNTIFS('Post Plan'!$I$2:$I$348,$B31,'Post Plan'!$J$2:$J$348,"Explore nearby")</f>
        <v>1</v>
      </c>
      <c r="O31" s="20" t="n">
        <f aca="false">COUNTIFS('Post Plan'!$I$2:$I$348,$B31,'Post Plan'!$J$2:$J$348,"See &amp; do")</f>
        <v>1</v>
      </c>
      <c r="P31" s="20" t="n">
        <f aca="false">COUNTIFS('Post Plan'!$I$2:$I$348,$B31,'Post Plan'!$J$2:$J$348,"Beaches &amp; islands")</f>
        <v>0</v>
      </c>
      <c r="Q31" s="20" t="n">
        <f aca="false">COUNTIFS('Post Plan'!$I$2:$I$348,$B31,'Post Plan'!$J$2:$J$348,"Towns, villages &amp; nature")</f>
        <v>0</v>
      </c>
      <c r="R31" s="13" t="n">
        <f aca="false">SUMIF('Post Plan'!$I$2:$I$348,B31,'Post Plan'!$M$2:$M$348)</f>
        <v>2720</v>
      </c>
      <c r="S31" s="21" t="n">
        <f aca="false">SUMIF('Post Plan'!$I$2:$I$348,B31,'Post Plan'!$O$2:$O$348)</f>
        <v>117.131359350831</v>
      </c>
      <c r="T31" s="11" t="n">
        <f aca="false">COUNTIFS('Post Plan'!$I$2:$I$348,B31,'Post Plan'!$B$2:$B$348,"Wave 1")</f>
        <v>1</v>
      </c>
      <c r="U31" s="11" t="n">
        <v>12</v>
      </c>
      <c r="V31" s="12" t="s">
        <v>223</v>
      </c>
      <c r="W31" s="14"/>
      <c r="X31" s="14"/>
      <c r="Y31" s="14" t="s">
        <v>203</v>
      </c>
      <c r="Z31" s="15"/>
      <c r="AA31" s="14" t="n">
        <f aca="false">COUNTIFS('Post Plan'!$I$2:$I$348,B31,'Post Plan'!$V$2:$V$348,"Published")</f>
        <v>0</v>
      </c>
      <c r="AB31" s="12"/>
    </row>
    <row r="32" customFormat="false" ht="35.05" hidden="false" customHeight="false" outlineLevel="0" collapsed="false">
      <c r="A32" s="11" t="n">
        <v>31</v>
      </c>
      <c r="B32" s="18" t="s">
        <v>246</v>
      </c>
      <c r="C32" s="11" t="s">
        <v>209</v>
      </c>
      <c r="D32" s="11" t="s">
        <v>246</v>
      </c>
      <c r="E32" s="11" t="s">
        <v>210</v>
      </c>
      <c r="F32" s="12" t="s">
        <v>199</v>
      </c>
      <c r="G32" s="12" t="s">
        <v>308</v>
      </c>
      <c r="H32" s="11" t="s">
        <v>309</v>
      </c>
      <c r="I32" s="13"/>
      <c r="J32" s="19"/>
      <c r="K32" s="11" t="n">
        <f aca="false">COUNTIF('Post Plan'!$I$2:$I$348,B32)</f>
        <v>6</v>
      </c>
      <c r="L32" s="20" t="n">
        <f aca="false">COUNTIFS('Post Plan'!$I$2:$I$348,$B32,'Post Plan'!$J$2:$J$348,"Eat")</f>
        <v>2</v>
      </c>
      <c r="M32" s="20" t="n">
        <f aca="false">COUNTIFS('Post Plan'!$I$2:$I$348,$B32,'Post Plan'!$J$2:$J$348,"Drink")</f>
        <v>0</v>
      </c>
      <c r="N32" s="20" t="n">
        <f aca="false">COUNTIFS('Post Plan'!$I$2:$I$348,$B32,'Post Plan'!$J$2:$J$348,"Explore nearby")</f>
        <v>1</v>
      </c>
      <c r="O32" s="20" t="n">
        <f aca="false">COUNTIFS('Post Plan'!$I$2:$I$348,$B32,'Post Plan'!$J$2:$J$348,"See &amp; do")</f>
        <v>0</v>
      </c>
      <c r="P32" s="20" t="n">
        <f aca="false">COUNTIFS('Post Plan'!$I$2:$I$348,$B32,'Post Plan'!$J$2:$J$348,"Beaches &amp; islands")</f>
        <v>3</v>
      </c>
      <c r="Q32" s="20" t="n">
        <f aca="false">COUNTIFS('Post Plan'!$I$2:$I$348,$B32,'Post Plan'!$J$2:$J$348,"Towns, villages &amp; nature")</f>
        <v>0</v>
      </c>
      <c r="R32" s="13" t="n">
        <f aca="false">SUMIF('Post Plan'!$I$2:$I$348,B32,'Post Plan'!$M$2:$M$348)</f>
        <v>2780</v>
      </c>
      <c r="S32" s="21" t="n">
        <f aca="false">SUMIF('Post Plan'!$I$2:$I$348,B32,'Post Plan'!$O$2:$O$348)</f>
        <v>116.558394703471</v>
      </c>
      <c r="T32" s="11" t="n">
        <f aca="false">COUNTIFS('Post Plan'!$I$2:$I$348,B32,'Post Plan'!$B$2:$B$348,"Wave 1")</f>
        <v>0</v>
      </c>
      <c r="U32" s="11" t="n">
        <v>117</v>
      </c>
      <c r="V32" s="12" t="s">
        <v>310</v>
      </c>
      <c r="W32" s="14"/>
      <c r="X32" s="14"/>
      <c r="Y32" s="14" t="s">
        <v>203</v>
      </c>
      <c r="Z32" s="15"/>
      <c r="AA32" s="14" t="n">
        <f aca="false">COUNTIFS('Post Plan'!$I$2:$I$348,B32,'Post Plan'!$V$2:$V$348,"Published")</f>
        <v>0</v>
      </c>
      <c r="AB32" s="12"/>
    </row>
    <row r="33" customFormat="false" ht="23.85" hidden="false" customHeight="false" outlineLevel="0" collapsed="false">
      <c r="A33" s="11" t="n">
        <v>32</v>
      </c>
      <c r="B33" s="18" t="s">
        <v>311</v>
      </c>
      <c r="C33" s="11" t="s">
        <v>197</v>
      </c>
      <c r="D33" s="11" t="s">
        <v>215</v>
      </c>
      <c r="E33" s="11" t="s">
        <v>215</v>
      </c>
      <c r="F33" s="12" t="s">
        <v>199</v>
      </c>
      <c r="G33" s="12" t="s">
        <v>312</v>
      </c>
      <c r="H33" s="11" t="s">
        <v>313</v>
      </c>
      <c r="I33" s="13"/>
      <c r="J33" s="19"/>
      <c r="K33" s="11" t="n">
        <f aca="false">COUNTIF('Post Plan'!$I$2:$I$348,B33)</f>
        <v>6</v>
      </c>
      <c r="L33" s="20" t="n">
        <f aca="false">COUNTIFS('Post Plan'!$I$2:$I$348,$B33,'Post Plan'!$J$2:$J$348,"Eat")</f>
        <v>2</v>
      </c>
      <c r="M33" s="20" t="n">
        <f aca="false">COUNTIFS('Post Plan'!$I$2:$I$348,$B33,'Post Plan'!$J$2:$J$348,"Drink")</f>
        <v>1</v>
      </c>
      <c r="N33" s="20" t="n">
        <f aca="false">COUNTIFS('Post Plan'!$I$2:$I$348,$B33,'Post Plan'!$J$2:$J$348,"Explore nearby")</f>
        <v>3</v>
      </c>
      <c r="O33" s="20" t="n">
        <f aca="false">COUNTIFS('Post Plan'!$I$2:$I$348,$B33,'Post Plan'!$J$2:$J$348,"See &amp; do")</f>
        <v>0</v>
      </c>
      <c r="P33" s="20" t="n">
        <f aca="false">COUNTIFS('Post Plan'!$I$2:$I$348,$B33,'Post Plan'!$J$2:$J$348,"Beaches &amp; islands")</f>
        <v>0</v>
      </c>
      <c r="Q33" s="20" t="n">
        <f aca="false">COUNTIFS('Post Plan'!$I$2:$I$348,$B33,'Post Plan'!$J$2:$J$348,"Towns, villages &amp; nature")</f>
        <v>0</v>
      </c>
      <c r="R33" s="13" t="n">
        <f aca="false">SUMIF('Post Plan'!$I$2:$I$348,B33,'Post Plan'!$M$2:$M$348)</f>
        <v>2440</v>
      </c>
      <c r="S33" s="21" t="n">
        <f aca="false">SUMIF('Post Plan'!$I$2:$I$348,B33,'Post Plan'!$O$2:$O$348)</f>
        <v>114.660641291076</v>
      </c>
      <c r="T33" s="11" t="n">
        <f aca="false">COUNTIFS('Post Plan'!$I$2:$I$348,B33,'Post Plan'!$B$2:$B$348,"Wave 1")</f>
        <v>1</v>
      </c>
      <c r="U33" s="11" t="n">
        <v>94</v>
      </c>
      <c r="V33" s="12" t="s">
        <v>223</v>
      </c>
      <c r="W33" s="14"/>
      <c r="X33" s="14"/>
      <c r="Y33" s="14" t="s">
        <v>203</v>
      </c>
      <c r="Z33" s="15"/>
      <c r="AA33" s="14" t="n">
        <f aca="false">COUNTIFS('Post Plan'!$I$2:$I$348,B33,'Post Plan'!$V$2:$V$348,"Published")</f>
        <v>0</v>
      </c>
      <c r="AB33" s="12"/>
    </row>
    <row r="34" customFormat="false" ht="35.05" hidden="false" customHeight="false" outlineLevel="0" collapsed="false">
      <c r="A34" s="11" t="n">
        <v>33</v>
      </c>
      <c r="B34" s="18" t="s">
        <v>314</v>
      </c>
      <c r="C34" s="11" t="s">
        <v>197</v>
      </c>
      <c r="D34" s="11" t="s">
        <v>205</v>
      </c>
      <c r="E34" s="11" t="s">
        <v>205</v>
      </c>
      <c r="F34" s="12" t="s">
        <v>199</v>
      </c>
      <c r="G34" s="12" t="s">
        <v>315</v>
      </c>
      <c r="H34" s="11" t="s">
        <v>316</v>
      </c>
      <c r="I34" s="13"/>
      <c r="J34" s="19"/>
      <c r="K34" s="11" t="n">
        <f aca="false">COUNTIF('Post Plan'!$I$2:$I$348,B34)</f>
        <v>4</v>
      </c>
      <c r="L34" s="20" t="n">
        <f aca="false">COUNTIFS('Post Plan'!$I$2:$I$348,$B34,'Post Plan'!$J$2:$J$348,"Eat")</f>
        <v>0</v>
      </c>
      <c r="M34" s="20" t="n">
        <f aca="false">COUNTIFS('Post Plan'!$I$2:$I$348,$B34,'Post Plan'!$J$2:$J$348,"Drink")</f>
        <v>0</v>
      </c>
      <c r="N34" s="20" t="n">
        <f aca="false">COUNTIFS('Post Plan'!$I$2:$I$348,$B34,'Post Plan'!$J$2:$J$348,"Explore nearby")</f>
        <v>1</v>
      </c>
      <c r="O34" s="20" t="n">
        <f aca="false">COUNTIFS('Post Plan'!$I$2:$I$348,$B34,'Post Plan'!$J$2:$J$348,"See &amp; do")</f>
        <v>1</v>
      </c>
      <c r="P34" s="20" t="n">
        <f aca="false">COUNTIFS('Post Plan'!$I$2:$I$348,$B34,'Post Plan'!$J$2:$J$348,"Beaches &amp; islands")</f>
        <v>2</v>
      </c>
      <c r="Q34" s="20" t="n">
        <f aca="false">COUNTIFS('Post Plan'!$I$2:$I$348,$B34,'Post Plan'!$J$2:$J$348,"Towns, villages &amp; nature")</f>
        <v>0</v>
      </c>
      <c r="R34" s="13" t="n">
        <f aca="false">SUMIF('Post Plan'!$I$2:$I$348,B34,'Post Plan'!$M$2:$M$348)</f>
        <v>2670</v>
      </c>
      <c r="S34" s="21" t="n">
        <f aca="false">SUMIF('Post Plan'!$I$2:$I$348,B34,'Post Plan'!$O$2:$O$348)</f>
        <v>111.983972723581</v>
      </c>
      <c r="T34" s="11" t="n">
        <f aca="false">COUNTIFS('Post Plan'!$I$2:$I$348,B34,'Post Plan'!$B$2:$B$348,"Wave 1")</f>
        <v>2</v>
      </c>
      <c r="U34" s="11" t="n">
        <v>51</v>
      </c>
      <c r="V34" s="12" t="s">
        <v>317</v>
      </c>
      <c r="W34" s="14"/>
      <c r="X34" s="14"/>
      <c r="Y34" s="14" t="s">
        <v>203</v>
      </c>
      <c r="Z34" s="15"/>
      <c r="AA34" s="14" t="n">
        <f aca="false">COUNTIFS('Post Plan'!$I$2:$I$348,B34,'Post Plan'!$V$2:$V$348,"Published")</f>
        <v>0</v>
      </c>
      <c r="AB34" s="12"/>
    </row>
    <row r="35" customFormat="false" ht="23.85" hidden="false" customHeight="false" outlineLevel="0" collapsed="false">
      <c r="A35" s="11" t="n">
        <v>34</v>
      </c>
      <c r="B35" s="18" t="s">
        <v>318</v>
      </c>
      <c r="C35" s="11" t="s">
        <v>220</v>
      </c>
      <c r="D35" s="11" t="s">
        <v>198</v>
      </c>
      <c r="E35" s="11" t="s">
        <v>241</v>
      </c>
      <c r="F35" s="12" t="s">
        <v>199</v>
      </c>
      <c r="G35" s="12" t="s">
        <v>319</v>
      </c>
      <c r="H35" s="11" t="s">
        <v>320</v>
      </c>
      <c r="I35" s="13" t="n">
        <v>70</v>
      </c>
      <c r="J35" s="19" t="n">
        <v>34</v>
      </c>
      <c r="K35" s="11" t="n">
        <f aca="false">COUNTIF('Post Plan'!$I$2:$I$348,B35)</f>
        <v>4</v>
      </c>
      <c r="L35" s="20" t="n">
        <f aca="false">COUNTIFS('Post Plan'!$I$2:$I$348,$B35,'Post Plan'!$J$2:$J$348,"Eat")</f>
        <v>1</v>
      </c>
      <c r="M35" s="20" t="n">
        <f aca="false">COUNTIFS('Post Plan'!$I$2:$I$348,$B35,'Post Plan'!$J$2:$J$348,"Drink")</f>
        <v>2</v>
      </c>
      <c r="N35" s="20" t="n">
        <f aca="false">COUNTIFS('Post Plan'!$I$2:$I$348,$B35,'Post Plan'!$J$2:$J$348,"Explore nearby")</f>
        <v>1</v>
      </c>
      <c r="O35" s="20" t="n">
        <f aca="false">COUNTIFS('Post Plan'!$I$2:$I$348,$B35,'Post Plan'!$J$2:$J$348,"See &amp; do")</f>
        <v>0</v>
      </c>
      <c r="P35" s="20" t="n">
        <f aca="false">COUNTIFS('Post Plan'!$I$2:$I$348,$B35,'Post Plan'!$J$2:$J$348,"Beaches &amp; islands")</f>
        <v>0</v>
      </c>
      <c r="Q35" s="20" t="n">
        <f aca="false">COUNTIFS('Post Plan'!$I$2:$I$348,$B35,'Post Plan'!$J$2:$J$348,"Towns, villages &amp; nature")</f>
        <v>0</v>
      </c>
      <c r="R35" s="13" t="n">
        <f aca="false">SUMIF('Post Plan'!$I$2:$I$348,B35,'Post Plan'!$M$2:$M$348)</f>
        <v>2450</v>
      </c>
      <c r="S35" s="21" t="n">
        <f aca="false">SUMIF('Post Plan'!$I$2:$I$348,B35,'Post Plan'!$O$2:$O$348)</f>
        <v>111.792621552237</v>
      </c>
      <c r="T35" s="11" t="n">
        <f aca="false">COUNTIFS('Post Plan'!$I$2:$I$348,B35,'Post Plan'!$B$2:$B$348,"Wave 1")</f>
        <v>2</v>
      </c>
      <c r="U35" s="11" t="n">
        <v>39</v>
      </c>
      <c r="V35" s="12" t="s">
        <v>223</v>
      </c>
      <c r="W35" s="14"/>
      <c r="X35" s="14"/>
      <c r="Y35" s="14" t="s">
        <v>203</v>
      </c>
      <c r="Z35" s="15"/>
      <c r="AA35" s="14" t="n">
        <f aca="false">COUNTIFS('Post Plan'!$I$2:$I$348,B35,'Post Plan'!$V$2:$V$348,"Published")</f>
        <v>0</v>
      </c>
      <c r="AB35" s="12"/>
    </row>
    <row r="36" customFormat="false" ht="35.05" hidden="false" customHeight="false" outlineLevel="0" collapsed="false">
      <c r="A36" s="11" t="n">
        <v>35</v>
      </c>
      <c r="B36" s="18" t="s">
        <v>241</v>
      </c>
      <c r="C36" s="11" t="s">
        <v>197</v>
      </c>
      <c r="D36" s="11" t="s">
        <v>198</v>
      </c>
      <c r="E36" s="11" t="s">
        <v>198</v>
      </c>
      <c r="F36" s="12" t="s">
        <v>199</v>
      </c>
      <c r="G36" s="12" t="s">
        <v>321</v>
      </c>
      <c r="H36" s="11" t="s">
        <v>322</v>
      </c>
      <c r="I36" s="13"/>
      <c r="J36" s="19"/>
      <c r="K36" s="11" t="n">
        <f aca="false">COUNTIF('Post Plan'!$I$2:$I$348,B36)</f>
        <v>8</v>
      </c>
      <c r="L36" s="20" t="n">
        <f aca="false">COUNTIFS('Post Plan'!$I$2:$I$348,$B36,'Post Plan'!$J$2:$J$348,"Eat")</f>
        <v>0</v>
      </c>
      <c r="M36" s="20" t="n">
        <f aca="false">COUNTIFS('Post Plan'!$I$2:$I$348,$B36,'Post Plan'!$J$2:$J$348,"Drink")</f>
        <v>0</v>
      </c>
      <c r="N36" s="20" t="n">
        <f aca="false">COUNTIFS('Post Plan'!$I$2:$I$348,$B36,'Post Plan'!$J$2:$J$348,"Explore nearby")</f>
        <v>3</v>
      </c>
      <c r="O36" s="20" t="n">
        <f aca="false">COUNTIFS('Post Plan'!$I$2:$I$348,$B36,'Post Plan'!$J$2:$J$348,"See &amp; do")</f>
        <v>2</v>
      </c>
      <c r="P36" s="20" t="n">
        <f aca="false">COUNTIFS('Post Plan'!$I$2:$I$348,$B36,'Post Plan'!$J$2:$J$348,"Beaches &amp; islands")</f>
        <v>2</v>
      </c>
      <c r="Q36" s="20" t="n">
        <f aca="false">COUNTIFS('Post Plan'!$I$2:$I$348,$B36,'Post Plan'!$J$2:$J$348,"Towns, villages &amp; nature")</f>
        <v>1</v>
      </c>
      <c r="R36" s="13" t="n">
        <f aca="false">SUMIF('Post Plan'!$I$2:$I$348,B36,'Post Plan'!$M$2:$M$348)</f>
        <v>2220</v>
      </c>
      <c r="S36" s="21" t="n">
        <f aca="false">SUMIF('Post Plan'!$I$2:$I$348,B36,'Post Plan'!$O$2:$O$348)</f>
        <v>105.768095650949</v>
      </c>
      <c r="T36" s="11" t="n">
        <f aca="false">COUNTIFS('Post Plan'!$I$2:$I$348,B36,'Post Plan'!$B$2:$B$348,"Wave 1")</f>
        <v>0</v>
      </c>
      <c r="U36" s="11" t="n">
        <v>110</v>
      </c>
      <c r="V36" s="12" t="s">
        <v>323</v>
      </c>
      <c r="W36" s="14"/>
      <c r="X36" s="14"/>
      <c r="Y36" s="14" t="s">
        <v>203</v>
      </c>
      <c r="Z36" s="15"/>
      <c r="AA36" s="14" t="n">
        <f aca="false">COUNTIFS('Post Plan'!$I$2:$I$348,B36,'Post Plan'!$V$2:$V$348,"Published")</f>
        <v>0</v>
      </c>
      <c r="AB36" s="12"/>
    </row>
    <row r="37" customFormat="false" ht="23.85" hidden="false" customHeight="false" outlineLevel="0" collapsed="false">
      <c r="A37" s="11" t="n">
        <v>36</v>
      </c>
      <c r="B37" s="18" t="s">
        <v>324</v>
      </c>
      <c r="C37" s="11" t="s">
        <v>220</v>
      </c>
      <c r="D37" s="11" t="s">
        <v>205</v>
      </c>
      <c r="E37" s="11" t="s">
        <v>205</v>
      </c>
      <c r="F37" s="12" t="s">
        <v>199</v>
      </c>
      <c r="G37" s="12" t="s">
        <v>325</v>
      </c>
      <c r="H37" s="11" t="s">
        <v>326</v>
      </c>
      <c r="I37" s="13"/>
      <c r="J37" s="19"/>
      <c r="K37" s="11" t="n">
        <f aca="false">COUNTIF('Post Plan'!$I$2:$I$348,B37)</f>
        <v>5</v>
      </c>
      <c r="L37" s="20" t="n">
        <f aca="false">COUNTIFS('Post Plan'!$I$2:$I$348,$B37,'Post Plan'!$J$2:$J$348,"Eat")</f>
        <v>3</v>
      </c>
      <c r="M37" s="20" t="n">
        <f aca="false">COUNTIFS('Post Plan'!$I$2:$I$348,$B37,'Post Plan'!$J$2:$J$348,"Drink")</f>
        <v>1</v>
      </c>
      <c r="N37" s="20" t="n">
        <f aca="false">COUNTIFS('Post Plan'!$I$2:$I$348,$B37,'Post Plan'!$J$2:$J$348,"Explore nearby")</f>
        <v>1</v>
      </c>
      <c r="O37" s="20" t="n">
        <f aca="false">COUNTIFS('Post Plan'!$I$2:$I$348,$B37,'Post Plan'!$J$2:$J$348,"See &amp; do")</f>
        <v>0</v>
      </c>
      <c r="P37" s="20" t="n">
        <f aca="false">COUNTIFS('Post Plan'!$I$2:$I$348,$B37,'Post Plan'!$J$2:$J$348,"Beaches &amp; islands")</f>
        <v>0</v>
      </c>
      <c r="Q37" s="20" t="n">
        <f aca="false">COUNTIFS('Post Plan'!$I$2:$I$348,$B37,'Post Plan'!$J$2:$J$348,"Towns, villages &amp; nature")</f>
        <v>0</v>
      </c>
      <c r="R37" s="13" t="n">
        <f aca="false">SUMIF('Post Plan'!$I$2:$I$348,B37,'Post Plan'!$M$2:$M$348)</f>
        <v>1960</v>
      </c>
      <c r="S37" s="21" t="n">
        <f aca="false">SUMIF('Post Plan'!$I$2:$I$348,B37,'Post Plan'!$O$2:$O$348)</f>
        <v>96.7340714840715</v>
      </c>
      <c r="T37" s="11" t="n">
        <f aca="false">COUNTIFS('Post Plan'!$I$2:$I$348,B37,'Post Plan'!$B$2:$B$348,"Wave 1")</f>
        <v>1</v>
      </c>
      <c r="U37" s="11" t="n">
        <v>90</v>
      </c>
      <c r="V37" s="12" t="s">
        <v>223</v>
      </c>
      <c r="W37" s="14"/>
      <c r="X37" s="14"/>
      <c r="Y37" s="14" t="s">
        <v>203</v>
      </c>
      <c r="Z37" s="15"/>
      <c r="AA37" s="14" t="n">
        <f aca="false">COUNTIFS('Post Plan'!$I$2:$I$348,B37,'Post Plan'!$V$2:$V$348,"Published")</f>
        <v>0</v>
      </c>
      <c r="AB37" s="12"/>
    </row>
    <row r="38" customFormat="false" ht="23.85" hidden="false" customHeight="false" outlineLevel="0" collapsed="false">
      <c r="A38" s="11" t="n">
        <v>37</v>
      </c>
      <c r="B38" s="18" t="s">
        <v>327</v>
      </c>
      <c r="C38" s="11" t="s">
        <v>220</v>
      </c>
      <c r="D38" s="11" t="s">
        <v>205</v>
      </c>
      <c r="E38" s="11" t="s">
        <v>205</v>
      </c>
      <c r="F38" s="12" t="s">
        <v>199</v>
      </c>
      <c r="G38" s="12" t="s">
        <v>328</v>
      </c>
      <c r="H38" s="11" t="s">
        <v>329</v>
      </c>
      <c r="I38" s="13"/>
      <c r="J38" s="19"/>
      <c r="K38" s="11" t="n">
        <f aca="false">COUNTIF('Post Plan'!$I$2:$I$348,B38)</f>
        <v>3</v>
      </c>
      <c r="L38" s="20" t="n">
        <f aca="false">COUNTIFS('Post Plan'!$I$2:$I$348,$B38,'Post Plan'!$J$2:$J$348,"Eat")</f>
        <v>2</v>
      </c>
      <c r="M38" s="20" t="n">
        <f aca="false">COUNTIFS('Post Plan'!$I$2:$I$348,$B38,'Post Plan'!$J$2:$J$348,"Drink")</f>
        <v>1</v>
      </c>
      <c r="N38" s="20" t="n">
        <f aca="false">COUNTIFS('Post Plan'!$I$2:$I$348,$B38,'Post Plan'!$J$2:$J$348,"Explore nearby")</f>
        <v>0</v>
      </c>
      <c r="O38" s="20" t="n">
        <f aca="false">COUNTIFS('Post Plan'!$I$2:$I$348,$B38,'Post Plan'!$J$2:$J$348,"See &amp; do")</f>
        <v>0</v>
      </c>
      <c r="P38" s="20" t="n">
        <f aca="false">COUNTIFS('Post Plan'!$I$2:$I$348,$B38,'Post Plan'!$J$2:$J$348,"Beaches &amp; islands")</f>
        <v>0</v>
      </c>
      <c r="Q38" s="20" t="n">
        <f aca="false">COUNTIFS('Post Plan'!$I$2:$I$348,$B38,'Post Plan'!$J$2:$J$348,"Towns, villages &amp; nature")</f>
        <v>0</v>
      </c>
      <c r="R38" s="13" t="n">
        <f aca="false">SUMIF('Post Plan'!$I$2:$I$348,B38,'Post Plan'!$M$2:$M$348)</f>
        <v>1890</v>
      </c>
      <c r="S38" s="21" t="n">
        <f aca="false">SUMIF('Post Plan'!$I$2:$I$348,B38,'Post Plan'!$O$2:$O$348)</f>
        <v>95.2083333333333</v>
      </c>
      <c r="T38" s="11" t="n">
        <f aca="false">COUNTIFS('Post Plan'!$I$2:$I$348,B38,'Post Plan'!$B$2:$B$348,"Wave 1")</f>
        <v>2</v>
      </c>
      <c r="U38" s="11" t="n">
        <v>46</v>
      </c>
      <c r="V38" s="12" t="s">
        <v>223</v>
      </c>
      <c r="W38" s="14"/>
      <c r="X38" s="14"/>
      <c r="Y38" s="14" t="s">
        <v>203</v>
      </c>
      <c r="Z38" s="15"/>
      <c r="AA38" s="14" t="n">
        <f aca="false">COUNTIFS('Post Plan'!$I$2:$I$348,B38,'Post Plan'!$V$2:$V$348,"Published")</f>
        <v>0</v>
      </c>
      <c r="AB38" s="12"/>
    </row>
    <row r="39" customFormat="false" ht="23.85" hidden="false" customHeight="false" outlineLevel="0" collapsed="false">
      <c r="A39" s="11" t="n">
        <v>38</v>
      </c>
      <c r="B39" s="18" t="s">
        <v>228</v>
      </c>
      <c r="C39" s="11" t="s">
        <v>197</v>
      </c>
      <c r="D39" s="11" t="s">
        <v>205</v>
      </c>
      <c r="E39" s="11" t="s">
        <v>205</v>
      </c>
      <c r="F39" s="12" t="s">
        <v>199</v>
      </c>
      <c r="G39" s="12" t="s">
        <v>330</v>
      </c>
      <c r="H39" s="11" t="s">
        <v>331</v>
      </c>
      <c r="I39" s="13"/>
      <c r="J39" s="19"/>
      <c r="K39" s="11" t="n">
        <f aca="false">COUNTIF('Post Plan'!$I$2:$I$348,B39)</f>
        <v>5</v>
      </c>
      <c r="L39" s="20" t="n">
        <f aca="false">COUNTIFS('Post Plan'!$I$2:$I$348,$B39,'Post Plan'!$J$2:$J$348,"Eat")</f>
        <v>1</v>
      </c>
      <c r="M39" s="20" t="n">
        <f aca="false">COUNTIFS('Post Plan'!$I$2:$I$348,$B39,'Post Plan'!$J$2:$J$348,"Drink")</f>
        <v>0</v>
      </c>
      <c r="N39" s="20" t="n">
        <f aca="false">COUNTIFS('Post Plan'!$I$2:$I$348,$B39,'Post Plan'!$J$2:$J$348,"Explore nearby")</f>
        <v>2</v>
      </c>
      <c r="O39" s="20" t="n">
        <f aca="false">COUNTIFS('Post Plan'!$I$2:$I$348,$B39,'Post Plan'!$J$2:$J$348,"See &amp; do")</f>
        <v>1</v>
      </c>
      <c r="P39" s="20" t="n">
        <f aca="false">COUNTIFS('Post Plan'!$I$2:$I$348,$B39,'Post Plan'!$J$2:$J$348,"Beaches &amp; islands")</f>
        <v>0</v>
      </c>
      <c r="Q39" s="20" t="n">
        <f aca="false">COUNTIFS('Post Plan'!$I$2:$I$348,$B39,'Post Plan'!$J$2:$J$348,"Towns, villages &amp; nature")</f>
        <v>1</v>
      </c>
      <c r="R39" s="13" t="n">
        <f aca="false">SUMIF('Post Plan'!$I$2:$I$348,B39,'Post Plan'!$M$2:$M$348)</f>
        <v>1540</v>
      </c>
      <c r="S39" s="21" t="n">
        <f aca="false">SUMIF('Post Plan'!$I$2:$I$348,B39,'Post Plan'!$O$2:$O$348)</f>
        <v>92.6174533390124</v>
      </c>
      <c r="T39" s="11" t="n">
        <f aca="false">COUNTIFS('Post Plan'!$I$2:$I$348,B39,'Post Plan'!$B$2:$B$348,"Wave 1")</f>
        <v>1</v>
      </c>
      <c r="U39" s="11" t="n">
        <v>60</v>
      </c>
      <c r="V39" s="12" t="s">
        <v>332</v>
      </c>
      <c r="W39" s="14"/>
      <c r="X39" s="14"/>
      <c r="Y39" s="14" t="s">
        <v>203</v>
      </c>
      <c r="Z39" s="15"/>
      <c r="AA39" s="14" t="n">
        <f aca="false">COUNTIFS('Post Plan'!$I$2:$I$348,B39,'Post Plan'!$V$2:$V$348,"Published")</f>
        <v>0</v>
      </c>
      <c r="AB39" s="12"/>
    </row>
    <row r="40" customFormat="false" ht="23.85" hidden="false" customHeight="false" outlineLevel="0" collapsed="false">
      <c r="A40" s="11" t="n">
        <v>39</v>
      </c>
      <c r="B40" s="18" t="s">
        <v>333</v>
      </c>
      <c r="C40" s="11" t="s">
        <v>220</v>
      </c>
      <c r="D40" s="11" t="s">
        <v>246</v>
      </c>
      <c r="E40" s="11" t="s">
        <v>334</v>
      </c>
      <c r="F40" s="12" t="s">
        <v>199</v>
      </c>
      <c r="G40" s="12" t="s">
        <v>335</v>
      </c>
      <c r="H40" s="11" t="s">
        <v>336</v>
      </c>
      <c r="I40" s="13" t="n">
        <v>170</v>
      </c>
      <c r="J40" s="19" t="n">
        <v>19</v>
      </c>
      <c r="K40" s="11" t="n">
        <f aca="false">COUNTIF('Post Plan'!$I$2:$I$348,B40)</f>
        <v>5</v>
      </c>
      <c r="L40" s="20" t="n">
        <f aca="false">COUNTIFS('Post Plan'!$I$2:$I$348,$B40,'Post Plan'!$J$2:$J$348,"Eat")</f>
        <v>4</v>
      </c>
      <c r="M40" s="20" t="n">
        <f aca="false">COUNTIFS('Post Plan'!$I$2:$I$348,$B40,'Post Plan'!$J$2:$J$348,"Drink")</f>
        <v>1</v>
      </c>
      <c r="N40" s="20" t="n">
        <f aca="false">COUNTIFS('Post Plan'!$I$2:$I$348,$B40,'Post Plan'!$J$2:$J$348,"Explore nearby")</f>
        <v>0</v>
      </c>
      <c r="O40" s="20" t="n">
        <f aca="false">COUNTIFS('Post Plan'!$I$2:$I$348,$B40,'Post Plan'!$J$2:$J$348,"See &amp; do")</f>
        <v>0</v>
      </c>
      <c r="P40" s="20" t="n">
        <f aca="false">COUNTIFS('Post Plan'!$I$2:$I$348,$B40,'Post Plan'!$J$2:$J$348,"Beaches &amp; islands")</f>
        <v>0</v>
      </c>
      <c r="Q40" s="20" t="n">
        <f aca="false">COUNTIFS('Post Plan'!$I$2:$I$348,$B40,'Post Plan'!$J$2:$J$348,"Towns, villages &amp; nature")</f>
        <v>0</v>
      </c>
      <c r="R40" s="13" t="n">
        <f aca="false">SUMIF('Post Plan'!$I$2:$I$348,B40,'Post Plan'!$M$2:$M$348)</f>
        <v>1470</v>
      </c>
      <c r="S40" s="21" t="n">
        <f aca="false">SUMIF('Post Plan'!$I$2:$I$348,B40,'Post Plan'!$O$2:$O$348)</f>
        <v>88.5145593759307</v>
      </c>
      <c r="T40" s="11" t="n">
        <f aca="false">COUNTIFS('Post Plan'!$I$2:$I$348,B40,'Post Plan'!$B$2:$B$348,"Wave 1")</f>
        <v>1</v>
      </c>
      <c r="U40" s="11" t="n">
        <v>43</v>
      </c>
      <c r="V40" s="12" t="s">
        <v>223</v>
      </c>
      <c r="W40" s="14"/>
      <c r="X40" s="14"/>
      <c r="Y40" s="14" t="s">
        <v>203</v>
      </c>
      <c r="Z40" s="15"/>
      <c r="AA40" s="14" t="n">
        <f aca="false">COUNTIFS('Post Plan'!$I$2:$I$348,B40,'Post Plan'!$V$2:$V$348,"Published")</f>
        <v>0</v>
      </c>
      <c r="AB40" s="12"/>
    </row>
    <row r="41" customFormat="false" ht="23.85" hidden="false" customHeight="false" outlineLevel="0" collapsed="false">
      <c r="A41" s="11" t="n">
        <v>40</v>
      </c>
      <c r="B41" s="18" t="s">
        <v>337</v>
      </c>
      <c r="C41" s="11" t="s">
        <v>197</v>
      </c>
      <c r="D41" s="11" t="s">
        <v>338</v>
      </c>
      <c r="E41" s="11" t="s">
        <v>338</v>
      </c>
      <c r="F41" s="12" t="s">
        <v>199</v>
      </c>
      <c r="G41" s="12" t="s">
        <v>339</v>
      </c>
      <c r="H41" s="11" t="s">
        <v>340</v>
      </c>
      <c r="I41" s="13"/>
      <c r="J41" s="19"/>
      <c r="K41" s="11" t="n">
        <f aca="false">COUNTIF('Post Plan'!$I$2:$I$348,B41)</f>
        <v>4</v>
      </c>
      <c r="L41" s="20" t="n">
        <f aca="false">COUNTIFS('Post Plan'!$I$2:$I$348,$B41,'Post Plan'!$J$2:$J$348,"Eat")</f>
        <v>1</v>
      </c>
      <c r="M41" s="20" t="n">
        <f aca="false">COUNTIFS('Post Plan'!$I$2:$I$348,$B41,'Post Plan'!$J$2:$J$348,"Drink")</f>
        <v>0</v>
      </c>
      <c r="N41" s="20" t="n">
        <f aca="false">COUNTIFS('Post Plan'!$I$2:$I$348,$B41,'Post Plan'!$J$2:$J$348,"Explore nearby")</f>
        <v>2</v>
      </c>
      <c r="O41" s="20" t="n">
        <f aca="false">COUNTIFS('Post Plan'!$I$2:$I$348,$B41,'Post Plan'!$J$2:$J$348,"See &amp; do")</f>
        <v>0</v>
      </c>
      <c r="P41" s="20" t="n">
        <f aca="false">COUNTIFS('Post Plan'!$I$2:$I$348,$B41,'Post Plan'!$J$2:$J$348,"Beaches &amp; islands")</f>
        <v>1</v>
      </c>
      <c r="Q41" s="20" t="n">
        <f aca="false">COUNTIFS('Post Plan'!$I$2:$I$348,$B41,'Post Plan'!$J$2:$J$348,"Towns, villages &amp; nature")</f>
        <v>0</v>
      </c>
      <c r="R41" s="13" t="n">
        <f aca="false">SUMIF('Post Plan'!$I$2:$I$348,B41,'Post Plan'!$M$2:$M$348)</f>
        <v>1800</v>
      </c>
      <c r="S41" s="21" t="n">
        <f aca="false">SUMIF('Post Plan'!$I$2:$I$348,B41,'Post Plan'!$O$2:$O$348)</f>
        <v>85.9528791753856</v>
      </c>
      <c r="T41" s="11" t="n">
        <f aca="false">COUNTIFS('Post Plan'!$I$2:$I$348,B41,'Post Plan'!$B$2:$B$348,"Wave 1")</f>
        <v>1</v>
      </c>
      <c r="U41" s="11" t="n">
        <v>98</v>
      </c>
      <c r="V41" s="12" t="s">
        <v>223</v>
      </c>
      <c r="W41" s="14"/>
      <c r="X41" s="14"/>
      <c r="Y41" s="14" t="s">
        <v>203</v>
      </c>
      <c r="Z41" s="15"/>
      <c r="AA41" s="14" t="n">
        <f aca="false">COUNTIFS('Post Plan'!$I$2:$I$348,B41,'Post Plan'!$V$2:$V$348,"Published")</f>
        <v>0</v>
      </c>
      <c r="AB41" s="12"/>
    </row>
    <row r="42" customFormat="false" ht="23.85" hidden="false" customHeight="false" outlineLevel="0" collapsed="false">
      <c r="A42" s="11" t="n">
        <v>41</v>
      </c>
      <c r="B42" s="18" t="s">
        <v>341</v>
      </c>
      <c r="C42" s="11" t="s">
        <v>197</v>
      </c>
      <c r="D42" s="11" t="s">
        <v>205</v>
      </c>
      <c r="E42" s="11" t="s">
        <v>205</v>
      </c>
      <c r="F42" s="12" t="s">
        <v>199</v>
      </c>
      <c r="G42" s="12" t="s">
        <v>342</v>
      </c>
      <c r="H42" s="11" t="s">
        <v>343</v>
      </c>
      <c r="I42" s="13"/>
      <c r="J42" s="19"/>
      <c r="K42" s="11" t="n">
        <f aca="false">COUNTIF('Post Plan'!$I$2:$I$348,B42)</f>
        <v>3</v>
      </c>
      <c r="L42" s="20" t="n">
        <f aca="false">COUNTIFS('Post Plan'!$I$2:$I$348,$B42,'Post Plan'!$J$2:$J$348,"Eat")</f>
        <v>0</v>
      </c>
      <c r="M42" s="20" t="n">
        <f aca="false">COUNTIFS('Post Plan'!$I$2:$I$348,$B42,'Post Plan'!$J$2:$J$348,"Drink")</f>
        <v>0</v>
      </c>
      <c r="N42" s="20" t="n">
        <f aca="false">COUNTIFS('Post Plan'!$I$2:$I$348,$B42,'Post Plan'!$J$2:$J$348,"Explore nearby")</f>
        <v>3</v>
      </c>
      <c r="O42" s="20" t="n">
        <f aca="false">COUNTIFS('Post Plan'!$I$2:$I$348,$B42,'Post Plan'!$J$2:$J$348,"See &amp; do")</f>
        <v>0</v>
      </c>
      <c r="P42" s="20" t="n">
        <f aca="false">COUNTIFS('Post Plan'!$I$2:$I$348,$B42,'Post Plan'!$J$2:$J$348,"Beaches &amp; islands")</f>
        <v>0</v>
      </c>
      <c r="Q42" s="20" t="n">
        <f aca="false">COUNTIFS('Post Plan'!$I$2:$I$348,$B42,'Post Plan'!$J$2:$J$348,"Towns, villages &amp; nature")</f>
        <v>0</v>
      </c>
      <c r="R42" s="13" t="n">
        <f aca="false">SUMIF('Post Plan'!$I$2:$I$348,B42,'Post Plan'!$M$2:$M$348)</f>
        <v>1380</v>
      </c>
      <c r="S42" s="21" t="n">
        <f aca="false">SUMIF('Post Plan'!$I$2:$I$348,B42,'Post Plan'!$O$2:$O$348)</f>
        <v>85.8564814814815</v>
      </c>
      <c r="T42" s="11" t="n">
        <f aca="false">COUNTIFS('Post Plan'!$I$2:$I$348,B42,'Post Plan'!$B$2:$B$348,"Wave 1")</f>
        <v>1</v>
      </c>
      <c r="U42" s="11" t="n">
        <v>79</v>
      </c>
      <c r="V42" s="12" t="s">
        <v>223</v>
      </c>
      <c r="W42" s="14"/>
      <c r="X42" s="14"/>
      <c r="Y42" s="14" t="s">
        <v>203</v>
      </c>
      <c r="Z42" s="15"/>
      <c r="AA42" s="14" t="n">
        <f aca="false">COUNTIFS('Post Plan'!$I$2:$I$348,B42,'Post Plan'!$V$2:$V$348,"Published")</f>
        <v>0</v>
      </c>
      <c r="AB42" s="12"/>
    </row>
    <row r="43" customFormat="false" ht="35.05" hidden="false" customHeight="false" outlineLevel="0" collapsed="false">
      <c r="A43" s="11" t="n">
        <v>42</v>
      </c>
      <c r="B43" s="18" t="s">
        <v>198</v>
      </c>
      <c r="C43" s="11" t="s">
        <v>197</v>
      </c>
      <c r="D43" s="11" t="s">
        <v>198</v>
      </c>
      <c r="E43" s="11" t="s">
        <v>210</v>
      </c>
      <c r="F43" s="12" t="s">
        <v>344</v>
      </c>
      <c r="G43" s="12" t="s">
        <v>345</v>
      </c>
      <c r="H43" s="11" t="s">
        <v>346</v>
      </c>
      <c r="I43" s="13"/>
      <c r="J43" s="19"/>
      <c r="K43" s="11" t="n">
        <f aca="false">COUNTIF('Post Plan'!$I$2:$I$348,B43)</f>
        <v>3</v>
      </c>
      <c r="L43" s="20" t="n">
        <f aca="false">COUNTIFS('Post Plan'!$I$2:$I$348,$B43,'Post Plan'!$J$2:$J$348,"Eat")</f>
        <v>1</v>
      </c>
      <c r="M43" s="20" t="n">
        <f aca="false">COUNTIFS('Post Plan'!$I$2:$I$348,$B43,'Post Plan'!$J$2:$J$348,"Drink")</f>
        <v>0</v>
      </c>
      <c r="N43" s="20" t="n">
        <f aca="false">COUNTIFS('Post Plan'!$I$2:$I$348,$B43,'Post Plan'!$J$2:$J$348,"Explore nearby")</f>
        <v>1</v>
      </c>
      <c r="O43" s="20" t="n">
        <f aca="false">COUNTIFS('Post Plan'!$I$2:$I$348,$B43,'Post Plan'!$J$2:$J$348,"See &amp; do")</f>
        <v>1</v>
      </c>
      <c r="P43" s="20" t="n">
        <f aca="false">COUNTIFS('Post Plan'!$I$2:$I$348,$B43,'Post Plan'!$J$2:$J$348,"Beaches &amp; islands")</f>
        <v>0</v>
      </c>
      <c r="Q43" s="20" t="n">
        <f aca="false">COUNTIFS('Post Plan'!$I$2:$I$348,$B43,'Post Plan'!$J$2:$J$348,"Towns, villages &amp; nature")</f>
        <v>0</v>
      </c>
      <c r="R43" s="13" t="n">
        <f aca="false">SUMIF('Post Plan'!$I$2:$I$348,B43,'Post Plan'!$M$2:$M$348)</f>
        <v>1270</v>
      </c>
      <c r="S43" s="21" t="n">
        <f aca="false">SUMIF('Post Plan'!$I$2:$I$348,B43,'Post Plan'!$O$2:$O$348)</f>
        <v>70.7380952380952</v>
      </c>
      <c r="T43" s="11" t="n">
        <f aca="false">COUNTIFS('Post Plan'!$I$2:$I$348,B43,'Post Plan'!$B$2:$B$348,"Wave 1")</f>
        <v>1</v>
      </c>
      <c r="U43" s="11" t="n">
        <v>41</v>
      </c>
      <c r="V43" s="12" t="s">
        <v>347</v>
      </c>
      <c r="W43" s="14"/>
      <c r="X43" s="14"/>
      <c r="Y43" s="14" t="s">
        <v>203</v>
      </c>
      <c r="Z43" s="15"/>
      <c r="AA43" s="14" t="n">
        <f aca="false">COUNTIFS('Post Plan'!$I$2:$I$348,B43,'Post Plan'!$V$2:$V$348,"Published")</f>
        <v>0</v>
      </c>
      <c r="AB43" s="12"/>
    </row>
    <row r="44" customFormat="false" ht="23.85" hidden="false" customHeight="false" outlineLevel="0" collapsed="false">
      <c r="A44" s="11" t="n">
        <v>43</v>
      </c>
      <c r="B44" s="18" t="s">
        <v>348</v>
      </c>
      <c r="C44" s="11" t="s">
        <v>220</v>
      </c>
      <c r="D44" s="11" t="s">
        <v>205</v>
      </c>
      <c r="E44" s="11" t="s">
        <v>232</v>
      </c>
      <c r="F44" s="12" t="s">
        <v>199</v>
      </c>
      <c r="G44" s="12" t="s">
        <v>349</v>
      </c>
      <c r="H44" s="11" t="s">
        <v>350</v>
      </c>
      <c r="I44" s="13" t="n">
        <v>200</v>
      </c>
      <c r="J44" s="19" t="n">
        <v>9.7</v>
      </c>
      <c r="K44" s="11" t="n">
        <f aca="false">COUNTIF('Post Plan'!$I$2:$I$348,B44)</f>
        <v>3</v>
      </c>
      <c r="L44" s="20" t="n">
        <f aca="false">COUNTIFS('Post Plan'!$I$2:$I$348,$B44,'Post Plan'!$J$2:$J$348,"Eat")</f>
        <v>1</v>
      </c>
      <c r="M44" s="20" t="n">
        <f aca="false">COUNTIFS('Post Plan'!$I$2:$I$348,$B44,'Post Plan'!$J$2:$J$348,"Drink")</f>
        <v>1</v>
      </c>
      <c r="N44" s="20" t="n">
        <f aca="false">COUNTIFS('Post Plan'!$I$2:$I$348,$B44,'Post Plan'!$J$2:$J$348,"Explore nearby")</f>
        <v>1</v>
      </c>
      <c r="O44" s="20" t="n">
        <f aca="false">COUNTIFS('Post Plan'!$I$2:$I$348,$B44,'Post Plan'!$J$2:$J$348,"See &amp; do")</f>
        <v>0</v>
      </c>
      <c r="P44" s="20" t="n">
        <f aca="false">COUNTIFS('Post Plan'!$I$2:$I$348,$B44,'Post Plan'!$J$2:$J$348,"Beaches &amp; islands")</f>
        <v>0</v>
      </c>
      <c r="Q44" s="20" t="n">
        <f aca="false">COUNTIFS('Post Plan'!$I$2:$I$348,$B44,'Post Plan'!$J$2:$J$348,"Towns, villages &amp; nature")</f>
        <v>0</v>
      </c>
      <c r="R44" s="13" t="n">
        <f aca="false">SUMIF('Post Plan'!$I$2:$I$348,B44,'Post Plan'!$M$2:$M$348)</f>
        <v>1220</v>
      </c>
      <c r="S44" s="21" t="n">
        <f aca="false">SUMIF('Post Plan'!$I$2:$I$348,B44,'Post Plan'!$O$2:$O$348)</f>
        <v>76</v>
      </c>
      <c r="T44" s="11" t="n">
        <f aca="false">COUNTIFS('Post Plan'!$I$2:$I$348,B44,'Post Plan'!$B$2:$B$348,"Wave 1")</f>
        <v>1</v>
      </c>
      <c r="U44" s="11" t="n">
        <v>100</v>
      </c>
      <c r="V44" s="12" t="s">
        <v>223</v>
      </c>
      <c r="W44" s="14"/>
      <c r="X44" s="14"/>
      <c r="Y44" s="14" t="s">
        <v>203</v>
      </c>
      <c r="Z44" s="15"/>
      <c r="AA44" s="14" t="n">
        <f aca="false">COUNTIFS('Post Plan'!$I$2:$I$348,B44,'Post Plan'!$V$2:$V$348,"Published")</f>
        <v>0</v>
      </c>
      <c r="AB44" s="12"/>
    </row>
    <row r="45" customFormat="false" ht="23.85" hidden="false" customHeight="false" outlineLevel="0" collapsed="false">
      <c r="A45" s="11" t="n">
        <v>44</v>
      </c>
      <c r="B45" s="18" t="s">
        <v>351</v>
      </c>
      <c r="C45" s="11" t="s">
        <v>220</v>
      </c>
      <c r="D45" s="11" t="s">
        <v>205</v>
      </c>
      <c r="E45" s="11" t="s">
        <v>205</v>
      </c>
      <c r="F45" s="12" t="s">
        <v>199</v>
      </c>
      <c r="G45" s="12" t="s">
        <v>352</v>
      </c>
      <c r="H45" s="11" t="s">
        <v>353</v>
      </c>
      <c r="I45" s="13"/>
      <c r="J45" s="19"/>
      <c r="K45" s="11" t="n">
        <f aca="false">COUNTIF('Post Plan'!$I$2:$I$348,B45)</f>
        <v>3</v>
      </c>
      <c r="L45" s="20" t="n">
        <f aca="false">COUNTIFS('Post Plan'!$I$2:$I$348,$B45,'Post Plan'!$J$2:$J$348,"Eat")</f>
        <v>1</v>
      </c>
      <c r="M45" s="20" t="n">
        <f aca="false">COUNTIFS('Post Plan'!$I$2:$I$348,$B45,'Post Plan'!$J$2:$J$348,"Drink")</f>
        <v>1</v>
      </c>
      <c r="N45" s="20" t="n">
        <f aca="false">COUNTIFS('Post Plan'!$I$2:$I$348,$B45,'Post Plan'!$J$2:$J$348,"Explore nearby")</f>
        <v>1</v>
      </c>
      <c r="O45" s="20" t="n">
        <f aca="false">COUNTIFS('Post Plan'!$I$2:$I$348,$B45,'Post Plan'!$J$2:$J$348,"See &amp; do")</f>
        <v>0</v>
      </c>
      <c r="P45" s="20" t="n">
        <f aca="false">COUNTIFS('Post Plan'!$I$2:$I$348,$B45,'Post Plan'!$J$2:$J$348,"Beaches &amp; islands")</f>
        <v>0</v>
      </c>
      <c r="Q45" s="20" t="n">
        <f aca="false">COUNTIFS('Post Plan'!$I$2:$I$348,$B45,'Post Plan'!$J$2:$J$348,"Towns, villages &amp; nature")</f>
        <v>0</v>
      </c>
      <c r="R45" s="13" t="n">
        <f aca="false">SUMIF('Post Plan'!$I$2:$I$348,B45,'Post Plan'!$M$2:$M$348)</f>
        <v>1290</v>
      </c>
      <c r="S45" s="21" t="n">
        <f aca="false">SUMIF('Post Plan'!$I$2:$I$348,B45,'Post Plan'!$O$2:$O$348)</f>
        <v>75.171188630491</v>
      </c>
      <c r="T45" s="11" t="n">
        <f aca="false">COUNTIFS('Post Plan'!$I$2:$I$348,B45,'Post Plan'!$B$2:$B$348,"Wave 1")</f>
        <v>1</v>
      </c>
      <c r="U45" s="11" t="n">
        <v>28</v>
      </c>
      <c r="V45" s="12" t="s">
        <v>223</v>
      </c>
      <c r="W45" s="14"/>
      <c r="X45" s="14"/>
      <c r="Y45" s="14" t="s">
        <v>203</v>
      </c>
      <c r="Z45" s="15"/>
      <c r="AA45" s="14" t="n">
        <f aca="false">COUNTIFS('Post Plan'!$I$2:$I$348,B45,'Post Plan'!$V$2:$V$348,"Published")</f>
        <v>0</v>
      </c>
      <c r="AB45" s="12"/>
    </row>
    <row r="46" customFormat="false" ht="23.85" hidden="false" customHeight="false" outlineLevel="0" collapsed="false">
      <c r="A46" s="11" t="n">
        <v>45</v>
      </c>
      <c r="B46" s="18" t="s">
        <v>302</v>
      </c>
      <c r="C46" s="11" t="s">
        <v>197</v>
      </c>
      <c r="D46" s="11" t="s">
        <v>205</v>
      </c>
      <c r="E46" s="11" t="s">
        <v>205</v>
      </c>
      <c r="F46" s="12" t="s">
        <v>199</v>
      </c>
      <c r="G46" s="12" t="s">
        <v>354</v>
      </c>
      <c r="H46" s="11" t="s">
        <v>355</v>
      </c>
      <c r="I46" s="13"/>
      <c r="J46" s="19"/>
      <c r="K46" s="11" t="n">
        <f aca="false">COUNTIF('Post Plan'!$I$2:$I$348,B46)</f>
        <v>2</v>
      </c>
      <c r="L46" s="20" t="n">
        <f aca="false">COUNTIFS('Post Plan'!$I$2:$I$348,$B46,'Post Plan'!$J$2:$J$348,"Eat")</f>
        <v>0</v>
      </c>
      <c r="M46" s="20" t="n">
        <f aca="false">COUNTIFS('Post Plan'!$I$2:$I$348,$B46,'Post Plan'!$J$2:$J$348,"Drink")</f>
        <v>0</v>
      </c>
      <c r="N46" s="20" t="n">
        <f aca="false">COUNTIFS('Post Plan'!$I$2:$I$348,$B46,'Post Plan'!$J$2:$J$348,"Explore nearby")</f>
        <v>1</v>
      </c>
      <c r="O46" s="20" t="n">
        <f aca="false">COUNTIFS('Post Plan'!$I$2:$I$348,$B46,'Post Plan'!$J$2:$J$348,"See &amp; do")</f>
        <v>0</v>
      </c>
      <c r="P46" s="20" t="n">
        <f aca="false">COUNTIFS('Post Plan'!$I$2:$I$348,$B46,'Post Plan'!$J$2:$J$348,"Beaches &amp; islands")</f>
        <v>1</v>
      </c>
      <c r="Q46" s="20" t="n">
        <f aca="false">COUNTIFS('Post Plan'!$I$2:$I$348,$B46,'Post Plan'!$J$2:$J$348,"Towns, villages &amp; nature")</f>
        <v>0</v>
      </c>
      <c r="R46" s="13" t="n">
        <f aca="false">SUMIF('Post Plan'!$I$2:$I$348,B46,'Post Plan'!$M$2:$M$348)</f>
        <v>1470</v>
      </c>
      <c r="S46" s="21" t="n">
        <f aca="false">SUMIF('Post Plan'!$I$2:$I$348,B46,'Post Plan'!$O$2:$O$348)</f>
        <v>70.7777777777778</v>
      </c>
      <c r="T46" s="11" t="n">
        <f aca="false">COUNTIFS('Post Plan'!$I$2:$I$348,B46,'Post Plan'!$B$2:$B$348,"Wave 1")</f>
        <v>1</v>
      </c>
      <c r="U46" s="11" t="n">
        <v>38</v>
      </c>
      <c r="V46" s="12" t="s">
        <v>356</v>
      </c>
      <c r="W46" s="14"/>
      <c r="X46" s="14"/>
      <c r="Y46" s="14" t="s">
        <v>203</v>
      </c>
      <c r="Z46" s="15"/>
      <c r="AA46" s="14" t="n">
        <f aca="false">COUNTIFS('Post Plan'!$I$2:$I$348,B46,'Post Plan'!$V$2:$V$348,"Published")</f>
        <v>0</v>
      </c>
      <c r="AB46" s="12"/>
    </row>
    <row r="47" customFormat="false" ht="23.85" hidden="false" customHeight="false" outlineLevel="0" collapsed="false">
      <c r="A47" s="11" t="n">
        <v>46</v>
      </c>
      <c r="B47" s="18" t="s">
        <v>357</v>
      </c>
      <c r="C47" s="11" t="s">
        <v>220</v>
      </c>
      <c r="D47" s="11" t="s">
        <v>215</v>
      </c>
      <c r="E47" s="11" t="s">
        <v>214</v>
      </c>
      <c r="F47" s="12" t="s">
        <v>358</v>
      </c>
      <c r="G47" s="12" t="s">
        <v>359</v>
      </c>
      <c r="H47" s="11" t="s">
        <v>360</v>
      </c>
      <c r="I47" s="13"/>
      <c r="J47" s="19"/>
      <c r="K47" s="11" t="n">
        <f aca="false">COUNTIF('Post Plan'!$I$2:$I$348,B47)</f>
        <v>5</v>
      </c>
      <c r="L47" s="20" t="n">
        <f aca="false">COUNTIFS('Post Plan'!$I$2:$I$348,$B47,'Post Plan'!$J$2:$J$348,"Eat")</f>
        <v>3</v>
      </c>
      <c r="M47" s="20" t="n">
        <f aca="false">COUNTIFS('Post Plan'!$I$2:$I$348,$B47,'Post Plan'!$J$2:$J$348,"Drink")</f>
        <v>1</v>
      </c>
      <c r="N47" s="20" t="n">
        <f aca="false">COUNTIFS('Post Plan'!$I$2:$I$348,$B47,'Post Plan'!$J$2:$J$348,"Explore nearby")</f>
        <v>1</v>
      </c>
      <c r="O47" s="20" t="n">
        <f aca="false">COUNTIFS('Post Plan'!$I$2:$I$348,$B47,'Post Plan'!$J$2:$J$348,"See &amp; do")</f>
        <v>0</v>
      </c>
      <c r="P47" s="20" t="n">
        <f aca="false">COUNTIFS('Post Plan'!$I$2:$I$348,$B47,'Post Plan'!$J$2:$J$348,"Beaches &amp; islands")</f>
        <v>0</v>
      </c>
      <c r="Q47" s="20" t="n">
        <f aca="false">COUNTIFS('Post Plan'!$I$2:$I$348,$B47,'Post Plan'!$J$2:$J$348,"Towns, villages &amp; nature")</f>
        <v>0</v>
      </c>
      <c r="R47" s="13" t="n">
        <f aca="false">SUMIF('Post Plan'!$I$2:$I$348,B47,'Post Plan'!$M$2:$M$348)</f>
        <v>1520</v>
      </c>
      <c r="S47" s="21" t="n">
        <f aca="false">SUMIF('Post Plan'!$I$2:$I$348,B47,'Post Plan'!$O$2:$O$348)</f>
        <v>68.4891001978605</v>
      </c>
      <c r="T47" s="11" t="n">
        <f aca="false">COUNTIFS('Post Plan'!$I$2:$I$348,B47,'Post Plan'!$B$2:$B$348,"Wave 1")</f>
        <v>1</v>
      </c>
      <c r="U47" s="11" t="n">
        <v>70</v>
      </c>
      <c r="V47" s="12" t="s">
        <v>245</v>
      </c>
      <c r="W47" s="14"/>
      <c r="X47" s="14"/>
      <c r="Y47" s="14" t="s">
        <v>203</v>
      </c>
      <c r="Z47" s="15"/>
      <c r="AA47" s="14" t="n">
        <f aca="false">COUNTIFS('Post Plan'!$I$2:$I$348,B47,'Post Plan'!$V$2:$V$348,"Published")</f>
        <v>0</v>
      </c>
      <c r="AB47" s="12"/>
    </row>
    <row r="48" customFormat="false" ht="23.85" hidden="false" customHeight="false" outlineLevel="0" collapsed="false">
      <c r="A48" s="11" t="n">
        <v>47</v>
      </c>
      <c r="B48" s="18" t="s">
        <v>361</v>
      </c>
      <c r="C48" s="11" t="s">
        <v>220</v>
      </c>
      <c r="D48" s="11" t="s">
        <v>215</v>
      </c>
      <c r="E48" s="11" t="s">
        <v>214</v>
      </c>
      <c r="F48" s="12" t="s">
        <v>199</v>
      </c>
      <c r="G48" s="12" t="s">
        <v>362</v>
      </c>
      <c r="H48" s="11" t="s">
        <v>363</v>
      </c>
      <c r="I48" s="13"/>
      <c r="J48" s="19"/>
      <c r="K48" s="11" t="n">
        <f aca="false">COUNTIF('Post Plan'!$I$2:$I$348,B48)</f>
        <v>3</v>
      </c>
      <c r="L48" s="20" t="n">
        <f aca="false">COUNTIFS('Post Plan'!$I$2:$I$348,$B48,'Post Plan'!$J$2:$J$348,"Eat")</f>
        <v>1</v>
      </c>
      <c r="M48" s="20" t="n">
        <f aca="false">COUNTIFS('Post Plan'!$I$2:$I$348,$B48,'Post Plan'!$J$2:$J$348,"Drink")</f>
        <v>1</v>
      </c>
      <c r="N48" s="20" t="n">
        <f aca="false">COUNTIFS('Post Plan'!$I$2:$I$348,$B48,'Post Plan'!$J$2:$J$348,"Explore nearby")</f>
        <v>1</v>
      </c>
      <c r="O48" s="20" t="n">
        <f aca="false">COUNTIFS('Post Plan'!$I$2:$I$348,$B48,'Post Plan'!$J$2:$J$348,"See &amp; do")</f>
        <v>0</v>
      </c>
      <c r="P48" s="20" t="n">
        <f aca="false">COUNTIFS('Post Plan'!$I$2:$I$348,$B48,'Post Plan'!$J$2:$J$348,"Beaches &amp; islands")</f>
        <v>0</v>
      </c>
      <c r="Q48" s="20" t="n">
        <f aca="false">COUNTIFS('Post Plan'!$I$2:$I$348,$B48,'Post Plan'!$J$2:$J$348,"Towns, villages &amp; nature")</f>
        <v>0</v>
      </c>
      <c r="R48" s="13" t="n">
        <f aca="false">SUMIF('Post Plan'!$I$2:$I$348,B48,'Post Plan'!$M$2:$M$348)</f>
        <v>1910</v>
      </c>
      <c r="S48" s="21" t="n">
        <f aca="false">SUMIF('Post Plan'!$I$2:$I$348,B48,'Post Plan'!$O$2:$O$348)</f>
        <v>67.5</v>
      </c>
      <c r="T48" s="11" t="n">
        <f aca="false">COUNTIFS('Post Plan'!$I$2:$I$348,B48,'Post Plan'!$B$2:$B$348,"Wave 1")</f>
        <v>1</v>
      </c>
      <c r="U48" s="11" t="n">
        <v>45</v>
      </c>
      <c r="V48" s="12" t="s">
        <v>223</v>
      </c>
      <c r="W48" s="14"/>
      <c r="X48" s="14"/>
      <c r="Y48" s="14" t="s">
        <v>203</v>
      </c>
      <c r="Z48" s="15"/>
      <c r="AA48" s="14" t="n">
        <f aca="false">COUNTIFS('Post Plan'!$I$2:$I$348,B48,'Post Plan'!$V$2:$V$348,"Published")</f>
        <v>0</v>
      </c>
      <c r="AB48" s="12"/>
    </row>
    <row r="49" customFormat="false" ht="23.85" hidden="false" customHeight="false" outlineLevel="0" collapsed="false">
      <c r="A49" s="11" t="n">
        <v>48</v>
      </c>
      <c r="B49" s="18" t="s">
        <v>364</v>
      </c>
      <c r="C49" s="11" t="s">
        <v>220</v>
      </c>
      <c r="D49" s="11" t="s">
        <v>205</v>
      </c>
      <c r="E49" s="11" t="s">
        <v>314</v>
      </c>
      <c r="F49" s="12" t="s">
        <v>199</v>
      </c>
      <c r="G49" s="12" t="s">
        <v>365</v>
      </c>
      <c r="H49" s="11" t="s">
        <v>366</v>
      </c>
      <c r="I49" s="13"/>
      <c r="J49" s="19"/>
      <c r="K49" s="11" t="n">
        <f aca="false">COUNTIF('Post Plan'!$I$2:$I$348,B49)</f>
        <v>3</v>
      </c>
      <c r="L49" s="20" t="n">
        <f aca="false">COUNTIFS('Post Plan'!$I$2:$I$348,$B49,'Post Plan'!$J$2:$J$348,"Eat")</f>
        <v>1</v>
      </c>
      <c r="M49" s="20" t="n">
        <f aca="false">COUNTIFS('Post Plan'!$I$2:$I$348,$B49,'Post Plan'!$J$2:$J$348,"Drink")</f>
        <v>1</v>
      </c>
      <c r="N49" s="20" t="n">
        <f aca="false">COUNTIFS('Post Plan'!$I$2:$I$348,$B49,'Post Plan'!$J$2:$J$348,"Explore nearby")</f>
        <v>0</v>
      </c>
      <c r="O49" s="20" t="n">
        <f aca="false">COUNTIFS('Post Plan'!$I$2:$I$348,$B49,'Post Plan'!$J$2:$J$348,"See &amp; do")</f>
        <v>0</v>
      </c>
      <c r="P49" s="20" t="n">
        <f aca="false">COUNTIFS('Post Plan'!$I$2:$I$348,$B49,'Post Plan'!$J$2:$J$348,"Beaches &amp; islands")</f>
        <v>1</v>
      </c>
      <c r="Q49" s="20" t="n">
        <f aca="false">COUNTIFS('Post Plan'!$I$2:$I$348,$B49,'Post Plan'!$J$2:$J$348,"Towns, villages &amp; nature")</f>
        <v>0</v>
      </c>
      <c r="R49" s="13" t="n">
        <f aca="false">SUMIF('Post Plan'!$I$2:$I$348,B49,'Post Plan'!$M$2:$M$348)</f>
        <v>1410</v>
      </c>
      <c r="S49" s="21" t="n">
        <f aca="false">SUMIF('Post Plan'!$I$2:$I$348,B49,'Post Plan'!$O$2:$O$348)</f>
        <v>66.3422117769944</v>
      </c>
      <c r="T49" s="11" t="n">
        <f aca="false">COUNTIFS('Post Plan'!$I$2:$I$348,B49,'Post Plan'!$B$2:$B$348,"Wave 1")</f>
        <v>1</v>
      </c>
      <c r="U49" s="11" t="n">
        <v>48</v>
      </c>
      <c r="V49" s="12" t="s">
        <v>223</v>
      </c>
      <c r="W49" s="14"/>
      <c r="X49" s="14"/>
      <c r="Y49" s="14" t="s">
        <v>203</v>
      </c>
      <c r="Z49" s="15"/>
      <c r="AA49" s="14" t="n">
        <f aca="false">COUNTIFS('Post Plan'!$I$2:$I$348,B49,'Post Plan'!$V$2:$V$348,"Published")</f>
        <v>0</v>
      </c>
      <c r="AB49" s="12"/>
    </row>
    <row r="50" customFormat="false" ht="23.85" hidden="false" customHeight="false" outlineLevel="0" collapsed="false">
      <c r="A50" s="11" t="n">
        <v>49</v>
      </c>
      <c r="B50" s="18" t="s">
        <v>367</v>
      </c>
      <c r="C50" s="11" t="s">
        <v>197</v>
      </c>
      <c r="D50" s="11" t="s">
        <v>198</v>
      </c>
      <c r="E50" s="11" t="s">
        <v>198</v>
      </c>
      <c r="F50" s="12" t="s">
        <v>199</v>
      </c>
      <c r="G50" s="12" t="s">
        <v>368</v>
      </c>
      <c r="H50" s="11" t="s">
        <v>369</v>
      </c>
      <c r="I50" s="13"/>
      <c r="J50" s="19"/>
      <c r="K50" s="11" t="n">
        <f aca="false">COUNTIF('Post Plan'!$I$2:$I$348,B50)</f>
        <v>3</v>
      </c>
      <c r="L50" s="20" t="n">
        <f aca="false">COUNTIFS('Post Plan'!$I$2:$I$348,$B50,'Post Plan'!$J$2:$J$348,"Eat")</f>
        <v>1</v>
      </c>
      <c r="M50" s="20" t="n">
        <f aca="false">COUNTIFS('Post Plan'!$I$2:$I$348,$B50,'Post Plan'!$J$2:$J$348,"Drink")</f>
        <v>0</v>
      </c>
      <c r="N50" s="20" t="n">
        <f aca="false">COUNTIFS('Post Plan'!$I$2:$I$348,$B50,'Post Plan'!$J$2:$J$348,"Explore nearby")</f>
        <v>1</v>
      </c>
      <c r="O50" s="20" t="n">
        <f aca="false">COUNTIFS('Post Plan'!$I$2:$I$348,$B50,'Post Plan'!$J$2:$J$348,"See &amp; do")</f>
        <v>1</v>
      </c>
      <c r="P50" s="20" t="n">
        <f aca="false">COUNTIFS('Post Plan'!$I$2:$I$348,$B50,'Post Plan'!$J$2:$J$348,"Beaches &amp; islands")</f>
        <v>0</v>
      </c>
      <c r="Q50" s="20" t="n">
        <f aca="false">COUNTIFS('Post Plan'!$I$2:$I$348,$B50,'Post Plan'!$J$2:$J$348,"Towns, villages &amp; nature")</f>
        <v>0</v>
      </c>
      <c r="R50" s="13" t="n">
        <f aca="false">SUMIF('Post Plan'!$I$2:$I$348,B50,'Post Plan'!$M$2:$M$348)</f>
        <v>1100</v>
      </c>
      <c r="S50" s="21" t="n">
        <f aca="false">SUMIF('Post Plan'!$I$2:$I$348,B50,'Post Plan'!$O$2:$O$348)</f>
        <v>58.5333333333333</v>
      </c>
      <c r="T50" s="11" t="n">
        <f aca="false">COUNTIFS('Post Plan'!$I$2:$I$348,B50,'Post Plan'!$B$2:$B$348,"Wave 1")</f>
        <v>0</v>
      </c>
      <c r="U50" s="11" t="n">
        <v>111</v>
      </c>
      <c r="V50" s="12" t="s">
        <v>223</v>
      </c>
      <c r="W50" s="14"/>
      <c r="X50" s="14"/>
      <c r="Y50" s="14" t="s">
        <v>203</v>
      </c>
      <c r="Z50" s="15"/>
      <c r="AA50" s="14" t="n">
        <f aca="false">COUNTIFS('Post Plan'!$I$2:$I$348,B50,'Post Plan'!$V$2:$V$348,"Published")</f>
        <v>0</v>
      </c>
      <c r="AB50" s="12"/>
    </row>
    <row r="51" customFormat="false" ht="23.85" hidden="false" customHeight="false" outlineLevel="0" collapsed="false">
      <c r="A51" s="11" t="n">
        <v>50</v>
      </c>
      <c r="B51" s="18" t="s">
        <v>370</v>
      </c>
      <c r="C51" s="11" t="s">
        <v>220</v>
      </c>
      <c r="D51" s="11" t="s">
        <v>246</v>
      </c>
      <c r="E51" s="11" t="s">
        <v>334</v>
      </c>
      <c r="F51" s="12" t="s">
        <v>199</v>
      </c>
      <c r="G51" s="12" t="s">
        <v>371</v>
      </c>
      <c r="H51" s="11" t="s">
        <v>372</v>
      </c>
      <c r="I51" s="13"/>
      <c r="J51" s="19"/>
      <c r="K51" s="11" t="n">
        <f aca="false">COUNTIF('Post Plan'!$I$2:$I$348,B51)</f>
        <v>4</v>
      </c>
      <c r="L51" s="20" t="n">
        <f aca="false">COUNTIFS('Post Plan'!$I$2:$I$348,$B51,'Post Plan'!$J$2:$J$348,"Eat")</f>
        <v>2</v>
      </c>
      <c r="M51" s="20" t="n">
        <f aca="false">COUNTIFS('Post Plan'!$I$2:$I$348,$B51,'Post Plan'!$J$2:$J$348,"Drink")</f>
        <v>1</v>
      </c>
      <c r="N51" s="20" t="n">
        <f aca="false">COUNTIFS('Post Plan'!$I$2:$I$348,$B51,'Post Plan'!$J$2:$J$348,"Explore nearby")</f>
        <v>1</v>
      </c>
      <c r="O51" s="20" t="n">
        <f aca="false">COUNTIFS('Post Plan'!$I$2:$I$348,$B51,'Post Plan'!$J$2:$J$348,"See &amp; do")</f>
        <v>0</v>
      </c>
      <c r="P51" s="20" t="n">
        <f aca="false">COUNTIFS('Post Plan'!$I$2:$I$348,$B51,'Post Plan'!$J$2:$J$348,"Beaches &amp; islands")</f>
        <v>0</v>
      </c>
      <c r="Q51" s="20" t="n">
        <f aca="false">COUNTIFS('Post Plan'!$I$2:$I$348,$B51,'Post Plan'!$J$2:$J$348,"Towns, villages &amp; nature")</f>
        <v>0</v>
      </c>
      <c r="R51" s="13" t="n">
        <f aca="false">SUMIF('Post Plan'!$I$2:$I$348,B51,'Post Plan'!$M$2:$M$348)</f>
        <v>1270</v>
      </c>
      <c r="S51" s="21" t="n">
        <f aca="false">SUMIF('Post Plan'!$I$2:$I$348,B51,'Post Plan'!$O$2:$O$348)</f>
        <v>57.2320989025743</v>
      </c>
      <c r="T51" s="11" t="n">
        <f aca="false">COUNTIFS('Post Plan'!$I$2:$I$348,B51,'Post Plan'!$B$2:$B$348,"Wave 1")</f>
        <v>0</v>
      </c>
      <c r="U51" s="11" t="n">
        <v>176</v>
      </c>
      <c r="V51" s="12" t="s">
        <v>223</v>
      </c>
      <c r="W51" s="14"/>
      <c r="X51" s="14"/>
      <c r="Y51" s="14" t="s">
        <v>203</v>
      </c>
      <c r="Z51" s="15"/>
      <c r="AA51" s="14" t="n">
        <f aca="false">COUNTIFS('Post Plan'!$I$2:$I$348,B51,'Post Plan'!$V$2:$V$348,"Published")</f>
        <v>0</v>
      </c>
      <c r="AB51" s="12"/>
    </row>
    <row r="52" customFormat="false" ht="23.85" hidden="false" customHeight="false" outlineLevel="0" collapsed="false">
      <c r="A52" s="11" t="n">
        <v>51</v>
      </c>
      <c r="B52" s="18" t="s">
        <v>373</v>
      </c>
      <c r="C52" s="11" t="s">
        <v>220</v>
      </c>
      <c r="D52" s="11" t="s">
        <v>205</v>
      </c>
      <c r="E52" s="11" t="s">
        <v>224</v>
      </c>
      <c r="F52" s="12" t="s">
        <v>199</v>
      </c>
      <c r="G52" s="12" t="s">
        <v>374</v>
      </c>
      <c r="H52" s="11" t="s">
        <v>375</v>
      </c>
      <c r="I52" s="13"/>
      <c r="J52" s="19"/>
      <c r="K52" s="11" t="n">
        <f aca="false">COUNTIF('Post Plan'!$I$2:$I$348,B52)</f>
        <v>3</v>
      </c>
      <c r="L52" s="20" t="n">
        <f aca="false">COUNTIFS('Post Plan'!$I$2:$I$348,$B52,'Post Plan'!$J$2:$J$348,"Eat")</f>
        <v>2</v>
      </c>
      <c r="M52" s="20" t="n">
        <f aca="false">COUNTIFS('Post Plan'!$I$2:$I$348,$B52,'Post Plan'!$J$2:$J$348,"Drink")</f>
        <v>1</v>
      </c>
      <c r="N52" s="20" t="n">
        <f aca="false">COUNTIFS('Post Plan'!$I$2:$I$348,$B52,'Post Plan'!$J$2:$J$348,"Explore nearby")</f>
        <v>0</v>
      </c>
      <c r="O52" s="20" t="n">
        <f aca="false">COUNTIFS('Post Plan'!$I$2:$I$348,$B52,'Post Plan'!$J$2:$J$348,"See &amp; do")</f>
        <v>0</v>
      </c>
      <c r="P52" s="20" t="n">
        <f aca="false">COUNTIFS('Post Plan'!$I$2:$I$348,$B52,'Post Plan'!$J$2:$J$348,"Beaches &amp; islands")</f>
        <v>0</v>
      </c>
      <c r="Q52" s="20" t="n">
        <f aca="false">COUNTIFS('Post Plan'!$I$2:$I$348,$B52,'Post Plan'!$J$2:$J$348,"Towns, villages &amp; nature")</f>
        <v>0</v>
      </c>
      <c r="R52" s="13" t="n">
        <f aca="false">SUMIF('Post Plan'!$I$2:$I$348,B52,'Post Plan'!$M$2:$M$348)</f>
        <v>1170</v>
      </c>
      <c r="S52" s="21" t="n">
        <f aca="false">SUMIF('Post Plan'!$I$2:$I$348,B52,'Post Plan'!$O$2:$O$348)</f>
        <v>54.2600472813239</v>
      </c>
      <c r="T52" s="11" t="n">
        <f aca="false">COUNTIFS('Post Plan'!$I$2:$I$348,B52,'Post Plan'!$B$2:$B$348,"Wave 1")</f>
        <v>1</v>
      </c>
      <c r="U52" s="11" t="n">
        <v>68</v>
      </c>
      <c r="V52" s="12" t="s">
        <v>223</v>
      </c>
      <c r="W52" s="14"/>
      <c r="X52" s="14"/>
      <c r="Y52" s="14" t="s">
        <v>203</v>
      </c>
      <c r="Z52" s="15"/>
      <c r="AA52" s="14" t="n">
        <f aca="false">COUNTIFS('Post Plan'!$I$2:$I$348,B52,'Post Plan'!$V$2:$V$348,"Published")</f>
        <v>0</v>
      </c>
      <c r="AB52" s="12"/>
    </row>
    <row r="53" customFormat="false" ht="23.85" hidden="false" customHeight="false" outlineLevel="0" collapsed="false">
      <c r="A53" s="11" t="n">
        <v>52</v>
      </c>
      <c r="B53" s="18" t="s">
        <v>283</v>
      </c>
      <c r="C53" s="11" t="s">
        <v>197</v>
      </c>
      <c r="D53" s="11" t="s">
        <v>205</v>
      </c>
      <c r="E53" s="11" t="s">
        <v>205</v>
      </c>
      <c r="F53" s="12" t="s">
        <v>199</v>
      </c>
      <c r="G53" s="12" t="s">
        <v>376</v>
      </c>
      <c r="H53" s="11" t="s">
        <v>377</v>
      </c>
      <c r="I53" s="13"/>
      <c r="J53" s="19"/>
      <c r="K53" s="11" t="n">
        <f aca="false">COUNTIF('Post Plan'!$I$2:$I$348,B53)</f>
        <v>4</v>
      </c>
      <c r="L53" s="20" t="n">
        <f aca="false">COUNTIFS('Post Plan'!$I$2:$I$348,$B53,'Post Plan'!$J$2:$J$348,"Eat")</f>
        <v>1</v>
      </c>
      <c r="M53" s="20" t="n">
        <f aca="false">COUNTIFS('Post Plan'!$I$2:$I$348,$B53,'Post Plan'!$J$2:$J$348,"Drink")</f>
        <v>0</v>
      </c>
      <c r="N53" s="20" t="n">
        <f aca="false">COUNTIFS('Post Plan'!$I$2:$I$348,$B53,'Post Plan'!$J$2:$J$348,"Explore nearby")</f>
        <v>0</v>
      </c>
      <c r="O53" s="20" t="n">
        <f aca="false">COUNTIFS('Post Plan'!$I$2:$I$348,$B53,'Post Plan'!$J$2:$J$348,"See &amp; do")</f>
        <v>1</v>
      </c>
      <c r="P53" s="20" t="n">
        <f aca="false">COUNTIFS('Post Plan'!$I$2:$I$348,$B53,'Post Plan'!$J$2:$J$348,"Beaches &amp; islands")</f>
        <v>2</v>
      </c>
      <c r="Q53" s="20" t="n">
        <f aca="false">COUNTIFS('Post Plan'!$I$2:$I$348,$B53,'Post Plan'!$J$2:$J$348,"Towns, villages &amp; nature")</f>
        <v>0</v>
      </c>
      <c r="R53" s="13" t="n">
        <f aca="false">SUMIF('Post Plan'!$I$2:$I$348,B53,'Post Plan'!$M$2:$M$348)</f>
        <v>1600</v>
      </c>
      <c r="S53" s="21" t="n">
        <f aca="false">SUMIF('Post Plan'!$I$2:$I$348,B53,'Post Plan'!$O$2:$O$348)</f>
        <v>52.863958214263</v>
      </c>
      <c r="T53" s="11" t="n">
        <f aca="false">COUNTIFS('Post Plan'!$I$2:$I$348,B53,'Post Plan'!$B$2:$B$348,"Wave 1")</f>
        <v>0</v>
      </c>
      <c r="U53" s="11" t="n">
        <v>119</v>
      </c>
      <c r="V53" s="12" t="s">
        <v>378</v>
      </c>
      <c r="W53" s="14"/>
      <c r="X53" s="14"/>
      <c r="Y53" s="14" t="s">
        <v>203</v>
      </c>
      <c r="Z53" s="15"/>
      <c r="AA53" s="14" t="n">
        <f aca="false">COUNTIFS('Post Plan'!$I$2:$I$348,B53,'Post Plan'!$V$2:$V$348,"Published")</f>
        <v>0</v>
      </c>
      <c r="AB53" s="12"/>
    </row>
    <row r="54" customFormat="false" ht="23.85" hidden="false" customHeight="false" outlineLevel="0" collapsed="false">
      <c r="A54" s="11" t="n">
        <v>53</v>
      </c>
      <c r="B54" s="18" t="s">
        <v>379</v>
      </c>
      <c r="C54" s="11" t="s">
        <v>220</v>
      </c>
      <c r="D54" s="11" t="s">
        <v>215</v>
      </c>
      <c r="E54" s="11" t="s">
        <v>214</v>
      </c>
      <c r="F54" s="12" t="s">
        <v>199</v>
      </c>
      <c r="G54" s="12" t="s">
        <v>380</v>
      </c>
      <c r="H54" s="11" t="s">
        <v>381</v>
      </c>
      <c r="I54" s="13"/>
      <c r="J54" s="19"/>
      <c r="K54" s="11" t="n">
        <f aca="false">COUNTIF('Post Plan'!$I$2:$I$348,B54)</f>
        <v>4</v>
      </c>
      <c r="L54" s="20" t="n">
        <f aca="false">COUNTIFS('Post Plan'!$I$2:$I$348,$B54,'Post Plan'!$J$2:$J$348,"Eat")</f>
        <v>3</v>
      </c>
      <c r="M54" s="20" t="n">
        <f aca="false">COUNTIFS('Post Plan'!$I$2:$I$348,$B54,'Post Plan'!$J$2:$J$348,"Drink")</f>
        <v>0</v>
      </c>
      <c r="N54" s="20" t="n">
        <f aca="false">COUNTIFS('Post Plan'!$I$2:$I$348,$B54,'Post Plan'!$J$2:$J$348,"Explore nearby")</f>
        <v>1</v>
      </c>
      <c r="O54" s="20" t="n">
        <f aca="false">COUNTIFS('Post Plan'!$I$2:$I$348,$B54,'Post Plan'!$J$2:$J$348,"See &amp; do")</f>
        <v>0</v>
      </c>
      <c r="P54" s="20" t="n">
        <f aca="false">COUNTIFS('Post Plan'!$I$2:$I$348,$B54,'Post Plan'!$J$2:$J$348,"Beaches &amp; islands")</f>
        <v>0</v>
      </c>
      <c r="Q54" s="20" t="n">
        <f aca="false">COUNTIFS('Post Plan'!$I$2:$I$348,$B54,'Post Plan'!$J$2:$J$348,"Towns, villages &amp; nature")</f>
        <v>0</v>
      </c>
      <c r="R54" s="13" t="n">
        <f aca="false">SUMIF('Post Plan'!$I$2:$I$348,B54,'Post Plan'!$M$2:$M$348)</f>
        <v>1040</v>
      </c>
      <c r="S54" s="21" t="n">
        <f aca="false">SUMIF('Post Plan'!$I$2:$I$348,B54,'Post Plan'!$O$2:$O$348)</f>
        <v>52.1046344959388</v>
      </c>
      <c r="T54" s="11" t="n">
        <f aca="false">COUNTIFS('Post Plan'!$I$2:$I$348,B54,'Post Plan'!$B$2:$B$348,"Wave 1")</f>
        <v>0</v>
      </c>
      <c r="U54" s="11" t="n">
        <v>109</v>
      </c>
      <c r="V54" s="12" t="s">
        <v>223</v>
      </c>
      <c r="W54" s="14"/>
      <c r="X54" s="14"/>
      <c r="Y54" s="14" t="s">
        <v>203</v>
      </c>
      <c r="Z54" s="15"/>
      <c r="AA54" s="14" t="n">
        <f aca="false">COUNTIFS('Post Plan'!$I$2:$I$348,B54,'Post Plan'!$V$2:$V$348,"Published")</f>
        <v>0</v>
      </c>
      <c r="AB54" s="12"/>
    </row>
    <row r="55" customFormat="false" ht="23.85" hidden="false" customHeight="false" outlineLevel="0" collapsed="false">
      <c r="A55" s="11" t="n">
        <v>54</v>
      </c>
      <c r="B55" s="18" t="s">
        <v>382</v>
      </c>
      <c r="C55" s="11" t="s">
        <v>220</v>
      </c>
      <c r="D55" s="11" t="s">
        <v>246</v>
      </c>
      <c r="E55" s="11" t="s">
        <v>246</v>
      </c>
      <c r="F55" s="12" t="s">
        <v>199</v>
      </c>
      <c r="G55" s="12" t="s">
        <v>383</v>
      </c>
      <c r="H55" s="11" t="s">
        <v>384</v>
      </c>
      <c r="I55" s="13"/>
      <c r="J55" s="19"/>
      <c r="K55" s="11" t="n">
        <f aca="false">COUNTIF('Post Plan'!$I$2:$I$348,B55)</f>
        <v>3</v>
      </c>
      <c r="L55" s="20" t="n">
        <f aca="false">COUNTIFS('Post Plan'!$I$2:$I$348,$B55,'Post Plan'!$J$2:$J$348,"Eat")</f>
        <v>2</v>
      </c>
      <c r="M55" s="20" t="n">
        <f aca="false">COUNTIFS('Post Plan'!$I$2:$I$348,$B55,'Post Plan'!$J$2:$J$348,"Drink")</f>
        <v>1</v>
      </c>
      <c r="N55" s="20" t="n">
        <f aca="false">COUNTIFS('Post Plan'!$I$2:$I$348,$B55,'Post Plan'!$J$2:$J$348,"Explore nearby")</f>
        <v>0</v>
      </c>
      <c r="O55" s="20" t="n">
        <f aca="false">COUNTIFS('Post Plan'!$I$2:$I$348,$B55,'Post Plan'!$J$2:$J$348,"See &amp; do")</f>
        <v>0</v>
      </c>
      <c r="P55" s="20" t="n">
        <f aca="false">COUNTIFS('Post Plan'!$I$2:$I$348,$B55,'Post Plan'!$J$2:$J$348,"Beaches &amp; islands")</f>
        <v>0</v>
      </c>
      <c r="Q55" s="20" t="n">
        <f aca="false">COUNTIFS('Post Plan'!$I$2:$I$348,$B55,'Post Plan'!$J$2:$J$348,"Towns, villages &amp; nature")</f>
        <v>0</v>
      </c>
      <c r="R55" s="13" t="n">
        <f aca="false">SUMIF('Post Plan'!$I$2:$I$348,B55,'Post Plan'!$M$2:$M$348)</f>
        <v>1080</v>
      </c>
      <c r="S55" s="21" t="n">
        <f aca="false">SUMIF('Post Plan'!$I$2:$I$348,B55,'Post Plan'!$O$2:$O$348)</f>
        <v>51.6666666666667</v>
      </c>
      <c r="T55" s="11" t="n">
        <f aca="false">COUNTIFS('Post Plan'!$I$2:$I$348,B55,'Post Plan'!$B$2:$B$348,"Wave 1")</f>
        <v>0</v>
      </c>
      <c r="U55" s="11" t="n">
        <v>108</v>
      </c>
      <c r="V55" s="12" t="s">
        <v>223</v>
      </c>
      <c r="W55" s="14"/>
      <c r="X55" s="14"/>
      <c r="Y55" s="14" t="s">
        <v>203</v>
      </c>
      <c r="Z55" s="15"/>
      <c r="AA55" s="14" t="n">
        <f aca="false">COUNTIFS('Post Plan'!$I$2:$I$348,B55,'Post Plan'!$V$2:$V$348,"Published")</f>
        <v>0</v>
      </c>
      <c r="AB55" s="12"/>
    </row>
    <row r="56" customFormat="false" ht="23.85" hidden="false" customHeight="false" outlineLevel="0" collapsed="false">
      <c r="A56" s="11" t="n">
        <v>55</v>
      </c>
      <c r="B56" s="18" t="s">
        <v>385</v>
      </c>
      <c r="C56" s="11" t="s">
        <v>197</v>
      </c>
      <c r="D56" s="11" t="s">
        <v>386</v>
      </c>
      <c r="E56" s="11" t="s">
        <v>386</v>
      </c>
      <c r="F56" s="12" t="s">
        <v>199</v>
      </c>
      <c r="G56" s="12" t="s">
        <v>387</v>
      </c>
      <c r="H56" s="11" t="s">
        <v>388</v>
      </c>
      <c r="I56" s="13"/>
      <c r="J56" s="19"/>
      <c r="K56" s="11" t="n">
        <f aca="false">COUNTIF('Post Plan'!$I$2:$I$348,B56)</f>
        <v>5</v>
      </c>
      <c r="L56" s="20" t="n">
        <f aca="false">COUNTIFS('Post Plan'!$I$2:$I$348,$B56,'Post Plan'!$J$2:$J$348,"Eat")</f>
        <v>2</v>
      </c>
      <c r="M56" s="20" t="n">
        <f aca="false">COUNTIFS('Post Plan'!$I$2:$I$348,$B56,'Post Plan'!$J$2:$J$348,"Drink")</f>
        <v>1</v>
      </c>
      <c r="N56" s="20" t="n">
        <f aca="false">COUNTIFS('Post Plan'!$I$2:$I$348,$B56,'Post Plan'!$J$2:$J$348,"Explore nearby")</f>
        <v>1</v>
      </c>
      <c r="O56" s="20" t="n">
        <f aca="false">COUNTIFS('Post Plan'!$I$2:$I$348,$B56,'Post Plan'!$J$2:$J$348,"See &amp; do")</f>
        <v>0</v>
      </c>
      <c r="P56" s="20" t="n">
        <f aca="false">COUNTIFS('Post Plan'!$I$2:$I$348,$B56,'Post Plan'!$J$2:$J$348,"Beaches &amp; islands")</f>
        <v>1</v>
      </c>
      <c r="Q56" s="20" t="n">
        <f aca="false">COUNTIFS('Post Plan'!$I$2:$I$348,$B56,'Post Plan'!$J$2:$J$348,"Towns, villages &amp; nature")</f>
        <v>0</v>
      </c>
      <c r="R56" s="13" t="n">
        <f aca="false">SUMIF('Post Plan'!$I$2:$I$348,B56,'Post Plan'!$M$2:$M$348)</f>
        <v>1400</v>
      </c>
      <c r="S56" s="21" t="n">
        <f aca="false">SUMIF('Post Plan'!$I$2:$I$348,B56,'Post Plan'!$O$2:$O$348)</f>
        <v>47.0254524886878</v>
      </c>
      <c r="T56" s="11" t="n">
        <f aca="false">COUNTIFS('Post Plan'!$I$2:$I$348,B56,'Post Plan'!$B$2:$B$348,"Wave 1")</f>
        <v>0</v>
      </c>
      <c r="U56" s="11" t="n">
        <v>173</v>
      </c>
      <c r="V56" s="12" t="s">
        <v>223</v>
      </c>
      <c r="W56" s="14"/>
      <c r="X56" s="14"/>
      <c r="Y56" s="14" t="s">
        <v>203</v>
      </c>
      <c r="Z56" s="15"/>
      <c r="AA56" s="14" t="n">
        <f aca="false">COUNTIFS('Post Plan'!$I$2:$I$348,B56,'Post Plan'!$V$2:$V$348,"Published")</f>
        <v>0</v>
      </c>
      <c r="AB56" s="12"/>
    </row>
    <row r="57" customFormat="false" ht="23.85" hidden="false" customHeight="false" outlineLevel="0" collapsed="false">
      <c r="A57" s="11" t="n">
        <v>56</v>
      </c>
      <c r="B57" s="18" t="s">
        <v>389</v>
      </c>
      <c r="C57" s="11" t="s">
        <v>197</v>
      </c>
      <c r="D57" s="11" t="s">
        <v>246</v>
      </c>
      <c r="E57" s="11" t="s">
        <v>246</v>
      </c>
      <c r="F57" s="12" t="s">
        <v>199</v>
      </c>
      <c r="G57" s="12" t="s">
        <v>390</v>
      </c>
      <c r="H57" s="11" t="s">
        <v>391</v>
      </c>
      <c r="I57" s="13"/>
      <c r="J57" s="19"/>
      <c r="K57" s="11" t="n">
        <f aca="false">COUNTIF('Post Plan'!$I$2:$I$348,B57)</f>
        <v>4</v>
      </c>
      <c r="L57" s="20" t="n">
        <f aca="false">COUNTIFS('Post Plan'!$I$2:$I$348,$B57,'Post Plan'!$J$2:$J$348,"Eat")</f>
        <v>2</v>
      </c>
      <c r="M57" s="20" t="n">
        <f aca="false">COUNTIFS('Post Plan'!$I$2:$I$348,$B57,'Post Plan'!$J$2:$J$348,"Drink")</f>
        <v>1</v>
      </c>
      <c r="N57" s="20" t="n">
        <f aca="false">COUNTIFS('Post Plan'!$I$2:$I$348,$B57,'Post Plan'!$J$2:$J$348,"Explore nearby")</f>
        <v>1</v>
      </c>
      <c r="O57" s="20" t="n">
        <f aca="false">COUNTIFS('Post Plan'!$I$2:$I$348,$B57,'Post Plan'!$J$2:$J$348,"See &amp; do")</f>
        <v>0</v>
      </c>
      <c r="P57" s="20" t="n">
        <f aca="false">COUNTIFS('Post Plan'!$I$2:$I$348,$B57,'Post Plan'!$J$2:$J$348,"Beaches &amp; islands")</f>
        <v>0</v>
      </c>
      <c r="Q57" s="20" t="n">
        <f aca="false">COUNTIFS('Post Plan'!$I$2:$I$348,$B57,'Post Plan'!$J$2:$J$348,"Towns, villages &amp; nature")</f>
        <v>0</v>
      </c>
      <c r="R57" s="13" t="n">
        <f aca="false">SUMIF('Post Plan'!$I$2:$I$348,B57,'Post Plan'!$M$2:$M$348)</f>
        <v>1110</v>
      </c>
      <c r="S57" s="21" t="n">
        <f aca="false">SUMIF('Post Plan'!$I$2:$I$348,B57,'Post Plan'!$O$2:$O$348)</f>
        <v>46.0344471726985</v>
      </c>
      <c r="T57" s="11" t="n">
        <f aca="false">COUNTIFS('Post Plan'!$I$2:$I$348,B57,'Post Plan'!$B$2:$B$348,"Wave 1")</f>
        <v>0</v>
      </c>
      <c r="U57" s="11" t="n">
        <v>214</v>
      </c>
      <c r="V57" s="12" t="s">
        <v>223</v>
      </c>
      <c r="W57" s="14"/>
      <c r="X57" s="14"/>
      <c r="Y57" s="14" t="s">
        <v>203</v>
      </c>
      <c r="Z57" s="15"/>
      <c r="AA57" s="14" t="n">
        <f aca="false">COUNTIFS('Post Plan'!$I$2:$I$348,B57,'Post Plan'!$V$2:$V$348,"Published")</f>
        <v>0</v>
      </c>
      <c r="AB57" s="12"/>
    </row>
    <row r="58" customFormat="false" ht="23.85" hidden="false" customHeight="false" outlineLevel="0" collapsed="false">
      <c r="A58" s="11" t="n">
        <v>57</v>
      </c>
      <c r="B58" s="18" t="s">
        <v>392</v>
      </c>
      <c r="C58" s="11" t="s">
        <v>220</v>
      </c>
      <c r="D58" s="11" t="s">
        <v>215</v>
      </c>
      <c r="E58" s="11" t="s">
        <v>214</v>
      </c>
      <c r="F58" s="12" t="s">
        <v>199</v>
      </c>
      <c r="G58" s="12" t="s">
        <v>393</v>
      </c>
      <c r="H58" s="11" t="s">
        <v>394</v>
      </c>
      <c r="I58" s="13"/>
      <c r="J58" s="19"/>
      <c r="K58" s="11" t="n">
        <f aca="false">COUNTIF('Post Plan'!$I$2:$I$348,B58)</f>
        <v>5</v>
      </c>
      <c r="L58" s="20" t="n">
        <f aca="false">COUNTIFS('Post Plan'!$I$2:$I$348,$B58,'Post Plan'!$J$2:$J$348,"Eat")</f>
        <v>2</v>
      </c>
      <c r="M58" s="20" t="n">
        <f aca="false">COUNTIFS('Post Plan'!$I$2:$I$348,$B58,'Post Plan'!$J$2:$J$348,"Drink")</f>
        <v>1</v>
      </c>
      <c r="N58" s="20" t="n">
        <f aca="false">COUNTIFS('Post Plan'!$I$2:$I$348,$B58,'Post Plan'!$J$2:$J$348,"Explore nearby")</f>
        <v>1</v>
      </c>
      <c r="O58" s="20" t="n">
        <f aca="false">COUNTIFS('Post Plan'!$I$2:$I$348,$B58,'Post Plan'!$J$2:$J$348,"See &amp; do")</f>
        <v>1</v>
      </c>
      <c r="P58" s="20" t="n">
        <f aca="false">COUNTIFS('Post Plan'!$I$2:$I$348,$B58,'Post Plan'!$J$2:$J$348,"Beaches &amp; islands")</f>
        <v>0</v>
      </c>
      <c r="Q58" s="20" t="n">
        <f aca="false">COUNTIFS('Post Plan'!$I$2:$I$348,$B58,'Post Plan'!$J$2:$J$348,"Towns, villages &amp; nature")</f>
        <v>0</v>
      </c>
      <c r="R58" s="13" t="n">
        <f aca="false">SUMIF('Post Plan'!$I$2:$I$348,B58,'Post Plan'!$M$2:$M$348)</f>
        <v>2270</v>
      </c>
      <c r="S58" s="21" t="n">
        <f aca="false">SUMIF('Post Plan'!$I$2:$I$348,B58,'Post Plan'!$O$2:$O$348)</f>
        <v>45.2237086827604</v>
      </c>
      <c r="T58" s="11" t="n">
        <f aca="false">COUNTIFS('Post Plan'!$I$2:$I$348,B58,'Post Plan'!$B$2:$B$348,"Wave 1")</f>
        <v>0</v>
      </c>
      <c r="U58" s="11" t="n">
        <v>198</v>
      </c>
      <c r="V58" s="12" t="s">
        <v>223</v>
      </c>
      <c r="W58" s="14"/>
      <c r="X58" s="14"/>
      <c r="Y58" s="14" t="s">
        <v>203</v>
      </c>
      <c r="Z58" s="15"/>
      <c r="AA58" s="14" t="n">
        <f aca="false">COUNTIFS('Post Plan'!$I$2:$I$348,B58,'Post Plan'!$V$2:$V$348,"Published")</f>
        <v>0</v>
      </c>
      <c r="AB58" s="12"/>
    </row>
    <row r="59" customFormat="false" ht="35.05" hidden="false" customHeight="false" outlineLevel="0" collapsed="false">
      <c r="A59" s="11" t="n">
        <v>58</v>
      </c>
      <c r="B59" s="18" t="s">
        <v>334</v>
      </c>
      <c r="C59" s="11" t="s">
        <v>197</v>
      </c>
      <c r="D59" s="11" t="s">
        <v>246</v>
      </c>
      <c r="E59" s="11" t="s">
        <v>246</v>
      </c>
      <c r="F59" s="12" t="s">
        <v>395</v>
      </c>
      <c r="G59" s="12" t="s">
        <v>396</v>
      </c>
      <c r="H59" s="11" t="s">
        <v>397</v>
      </c>
      <c r="I59" s="13"/>
      <c r="J59" s="19"/>
      <c r="K59" s="11" t="n">
        <f aca="false">COUNTIF('Post Plan'!$I$2:$I$348,B59)</f>
        <v>1</v>
      </c>
      <c r="L59" s="20" t="n">
        <f aca="false">COUNTIFS('Post Plan'!$I$2:$I$348,$B59,'Post Plan'!$J$2:$J$348,"Eat")</f>
        <v>1</v>
      </c>
      <c r="M59" s="20" t="n">
        <f aca="false">COUNTIFS('Post Plan'!$I$2:$I$348,$B59,'Post Plan'!$J$2:$J$348,"Drink")</f>
        <v>0</v>
      </c>
      <c r="N59" s="20" t="n">
        <f aca="false">COUNTIFS('Post Plan'!$I$2:$I$348,$B59,'Post Plan'!$J$2:$J$348,"Explore nearby")</f>
        <v>0</v>
      </c>
      <c r="O59" s="20" t="n">
        <f aca="false">COUNTIFS('Post Plan'!$I$2:$I$348,$B59,'Post Plan'!$J$2:$J$348,"See &amp; do")</f>
        <v>0</v>
      </c>
      <c r="P59" s="20" t="n">
        <f aca="false">COUNTIFS('Post Plan'!$I$2:$I$348,$B59,'Post Plan'!$J$2:$J$348,"Beaches &amp; islands")</f>
        <v>0</v>
      </c>
      <c r="Q59" s="20" t="n">
        <f aca="false">COUNTIFS('Post Plan'!$I$2:$I$348,$B59,'Post Plan'!$J$2:$J$348,"Towns, villages &amp; nature")</f>
        <v>0</v>
      </c>
      <c r="R59" s="13" t="n">
        <f aca="false">SUMIF('Post Plan'!$I$2:$I$348,B59,'Post Plan'!$M$2:$M$348)</f>
        <v>780</v>
      </c>
      <c r="S59" s="21" t="n">
        <f aca="false">SUMIF('Post Plan'!$I$2:$I$348,B59,'Post Plan'!$O$2:$O$348)</f>
        <v>44.5714285714286</v>
      </c>
      <c r="T59" s="11" t="n">
        <f aca="false">COUNTIFS('Post Plan'!$I$2:$I$348,B59,'Post Plan'!$B$2:$B$348,"Wave 1")</f>
        <v>1</v>
      </c>
      <c r="U59" s="11" t="n">
        <v>47</v>
      </c>
      <c r="V59" s="12" t="s">
        <v>398</v>
      </c>
      <c r="W59" s="14"/>
      <c r="X59" s="14"/>
      <c r="Y59" s="14" t="s">
        <v>203</v>
      </c>
      <c r="Z59" s="15"/>
      <c r="AA59" s="14" t="n">
        <f aca="false">COUNTIFS('Post Plan'!$I$2:$I$348,B59,'Post Plan'!$V$2:$V$348,"Published")</f>
        <v>0</v>
      </c>
      <c r="AB59" s="12"/>
    </row>
    <row r="60" customFormat="false" ht="23.85" hidden="false" customHeight="false" outlineLevel="0" collapsed="false">
      <c r="A60" s="11" t="n">
        <v>59</v>
      </c>
      <c r="B60" s="18" t="s">
        <v>399</v>
      </c>
      <c r="C60" s="11" t="s">
        <v>209</v>
      </c>
      <c r="D60" s="11" t="s">
        <v>399</v>
      </c>
      <c r="E60" s="11" t="s">
        <v>210</v>
      </c>
      <c r="F60" s="12" t="s">
        <v>199</v>
      </c>
      <c r="G60" s="12" t="s">
        <v>400</v>
      </c>
      <c r="H60" s="11" t="s">
        <v>401</v>
      </c>
      <c r="I60" s="13"/>
      <c r="J60" s="19"/>
      <c r="K60" s="11" t="n">
        <f aca="false">COUNTIF('Post Plan'!$I$2:$I$348,B60)</f>
        <v>3</v>
      </c>
      <c r="L60" s="20" t="n">
        <f aca="false">COUNTIFS('Post Plan'!$I$2:$I$348,$B60,'Post Plan'!$J$2:$J$348,"Eat")</f>
        <v>1</v>
      </c>
      <c r="M60" s="20" t="n">
        <f aca="false">COUNTIFS('Post Plan'!$I$2:$I$348,$B60,'Post Plan'!$J$2:$J$348,"Drink")</f>
        <v>0</v>
      </c>
      <c r="N60" s="20" t="n">
        <f aca="false">COUNTIFS('Post Plan'!$I$2:$I$348,$B60,'Post Plan'!$J$2:$J$348,"Explore nearby")</f>
        <v>2</v>
      </c>
      <c r="O60" s="20" t="n">
        <f aca="false">COUNTIFS('Post Plan'!$I$2:$I$348,$B60,'Post Plan'!$J$2:$J$348,"See &amp; do")</f>
        <v>0</v>
      </c>
      <c r="P60" s="20" t="n">
        <f aca="false">COUNTIFS('Post Plan'!$I$2:$I$348,$B60,'Post Plan'!$J$2:$J$348,"Beaches &amp; islands")</f>
        <v>0</v>
      </c>
      <c r="Q60" s="20" t="n">
        <f aca="false">COUNTIFS('Post Plan'!$I$2:$I$348,$B60,'Post Plan'!$J$2:$J$348,"Towns, villages &amp; nature")</f>
        <v>0</v>
      </c>
      <c r="R60" s="13" t="n">
        <f aca="false">SUMIF('Post Plan'!$I$2:$I$348,B60,'Post Plan'!$M$2:$M$348)</f>
        <v>990</v>
      </c>
      <c r="S60" s="21" t="n">
        <f aca="false">SUMIF('Post Plan'!$I$2:$I$348,B60,'Post Plan'!$O$2:$O$348)</f>
        <v>40.3704850361197</v>
      </c>
      <c r="T60" s="11" t="n">
        <f aca="false">COUNTIFS('Post Plan'!$I$2:$I$348,B60,'Post Plan'!$B$2:$B$348,"Wave 1")</f>
        <v>0</v>
      </c>
      <c r="U60" s="11" t="n">
        <v>183</v>
      </c>
      <c r="V60" s="12" t="s">
        <v>223</v>
      </c>
      <c r="W60" s="14"/>
      <c r="X60" s="14"/>
      <c r="Y60" s="14" t="s">
        <v>203</v>
      </c>
      <c r="Z60" s="15"/>
      <c r="AA60" s="14" t="n">
        <f aca="false">COUNTIFS('Post Plan'!$I$2:$I$348,B60,'Post Plan'!$V$2:$V$348,"Published")</f>
        <v>0</v>
      </c>
      <c r="AB60" s="12"/>
    </row>
    <row r="61" customFormat="false" ht="23.85" hidden="false" customHeight="false" outlineLevel="0" collapsed="false">
      <c r="A61" s="11" t="n">
        <v>60</v>
      </c>
      <c r="B61" s="18" t="s">
        <v>402</v>
      </c>
      <c r="C61" s="11" t="s">
        <v>197</v>
      </c>
      <c r="D61" s="11" t="s">
        <v>386</v>
      </c>
      <c r="E61" s="11" t="s">
        <v>386</v>
      </c>
      <c r="F61" s="12" t="s">
        <v>403</v>
      </c>
      <c r="G61" s="12" t="s">
        <v>404</v>
      </c>
      <c r="H61" s="11" t="s">
        <v>405</v>
      </c>
      <c r="I61" s="13"/>
      <c r="J61" s="19"/>
      <c r="K61" s="11" t="n">
        <f aca="false">COUNTIF('Post Plan'!$I$2:$I$348,B61)</f>
        <v>2</v>
      </c>
      <c r="L61" s="20" t="n">
        <f aca="false">COUNTIFS('Post Plan'!$I$2:$I$348,$B61,'Post Plan'!$J$2:$J$348,"Eat")</f>
        <v>1</v>
      </c>
      <c r="M61" s="20" t="n">
        <f aca="false">COUNTIFS('Post Plan'!$I$2:$I$348,$B61,'Post Plan'!$J$2:$J$348,"Drink")</f>
        <v>0</v>
      </c>
      <c r="N61" s="20" t="n">
        <f aca="false">COUNTIFS('Post Plan'!$I$2:$I$348,$B61,'Post Plan'!$J$2:$J$348,"Explore nearby")</f>
        <v>1</v>
      </c>
      <c r="O61" s="20" t="n">
        <f aca="false">COUNTIFS('Post Plan'!$I$2:$I$348,$B61,'Post Plan'!$J$2:$J$348,"See &amp; do")</f>
        <v>0</v>
      </c>
      <c r="P61" s="20" t="n">
        <f aca="false">COUNTIFS('Post Plan'!$I$2:$I$348,$B61,'Post Plan'!$J$2:$J$348,"Beaches &amp; islands")</f>
        <v>0</v>
      </c>
      <c r="Q61" s="20" t="n">
        <f aca="false">COUNTIFS('Post Plan'!$I$2:$I$348,$B61,'Post Plan'!$J$2:$J$348,"Towns, villages &amp; nature")</f>
        <v>0</v>
      </c>
      <c r="R61" s="13" t="n">
        <f aca="false">SUMIF('Post Plan'!$I$2:$I$348,B61,'Post Plan'!$M$2:$M$348)</f>
        <v>610</v>
      </c>
      <c r="S61" s="21" t="n">
        <f aca="false">SUMIF('Post Plan'!$I$2:$I$348,B61,'Post Plan'!$O$2:$O$348)</f>
        <v>31.6</v>
      </c>
      <c r="T61" s="11" t="n">
        <f aca="false">COUNTIFS('Post Plan'!$I$2:$I$348,B61,'Post Plan'!$B$2:$B$348,"Wave 1")</f>
        <v>0</v>
      </c>
      <c r="U61" s="11" t="n">
        <v>166</v>
      </c>
      <c r="V61" s="12" t="s">
        <v>245</v>
      </c>
      <c r="W61" s="14"/>
      <c r="X61" s="14"/>
      <c r="Y61" s="14" t="s">
        <v>203</v>
      </c>
      <c r="Z61" s="15"/>
      <c r="AA61" s="14" t="n">
        <f aca="false">COUNTIFS('Post Plan'!$I$2:$I$348,B61,'Post Plan'!$V$2:$V$348,"Published")</f>
        <v>0</v>
      </c>
      <c r="AB61" s="12"/>
    </row>
    <row r="62" customFormat="false" ht="23.85" hidden="false" customHeight="false" outlineLevel="0" collapsed="false">
      <c r="A62" s="11" t="n">
        <v>61</v>
      </c>
      <c r="B62" s="18" t="s">
        <v>406</v>
      </c>
      <c r="C62" s="11" t="s">
        <v>209</v>
      </c>
      <c r="D62" s="11" t="s">
        <v>406</v>
      </c>
      <c r="E62" s="11" t="s">
        <v>210</v>
      </c>
      <c r="F62" s="12" t="s">
        <v>199</v>
      </c>
      <c r="G62" s="12" t="s">
        <v>407</v>
      </c>
      <c r="H62" s="11" t="s">
        <v>408</v>
      </c>
      <c r="I62" s="13"/>
      <c r="J62" s="19"/>
      <c r="K62" s="11" t="n">
        <f aca="false">COUNTIF('Post Plan'!$I$2:$I$348,B62)</f>
        <v>1</v>
      </c>
      <c r="L62" s="20" t="n">
        <f aca="false">COUNTIFS('Post Plan'!$I$2:$I$348,$B62,'Post Plan'!$J$2:$J$348,"Eat")</f>
        <v>0</v>
      </c>
      <c r="M62" s="20" t="n">
        <f aca="false">COUNTIFS('Post Plan'!$I$2:$I$348,$B62,'Post Plan'!$J$2:$J$348,"Drink")</f>
        <v>1</v>
      </c>
      <c r="N62" s="20" t="n">
        <f aca="false">COUNTIFS('Post Plan'!$I$2:$I$348,$B62,'Post Plan'!$J$2:$J$348,"Explore nearby")</f>
        <v>0</v>
      </c>
      <c r="O62" s="20" t="n">
        <f aca="false">COUNTIFS('Post Plan'!$I$2:$I$348,$B62,'Post Plan'!$J$2:$J$348,"See &amp; do")</f>
        <v>0</v>
      </c>
      <c r="P62" s="20" t="n">
        <f aca="false">COUNTIFS('Post Plan'!$I$2:$I$348,$B62,'Post Plan'!$J$2:$J$348,"Beaches &amp; islands")</f>
        <v>0</v>
      </c>
      <c r="Q62" s="20" t="n">
        <f aca="false">COUNTIFS('Post Plan'!$I$2:$I$348,$B62,'Post Plan'!$J$2:$J$348,"Towns, villages &amp; nature")</f>
        <v>0</v>
      </c>
      <c r="R62" s="13" t="n">
        <f aca="false">SUMIF('Post Plan'!$I$2:$I$348,B62,'Post Plan'!$M$2:$M$348)</f>
        <v>590</v>
      </c>
      <c r="S62" s="21" t="n">
        <f aca="false">SUMIF('Post Plan'!$I$2:$I$348,B62,'Post Plan'!$O$2:$O$348)</f>
        <v>26.8181818181818</v>
      </c>
      <c r="T62" s="11" t="n">
        <f aca="false">COUNTIFS('Post Plan'!$I$2:$I$348,B62,'Post Plan'!$B$2:$B$348,"Wave 1")</f>
        <v>0</v>
      </c>
      <c r="U62" s="11" t="n">
        <v>129</v>
      </c>
      <c r="V62" s="12" t="s">
        <v>223</v>
      </c>
      <c r="W62" s="14"/>
      <c r="X62" s="14"/>
      <c r="Y62" s="14" t="s">
        <v>203</v>
      </c>
      <c r="Z62" s="15"/>
      <c r="AA62" s="14" t="n">
        <f aca="false">COUNTIFS('Post Plan'!$I$2:$I$348,B62,'Post Plan'!$V$2:$V$348,"Published")</f>
        <v>0</v>
      </c>
      <c r="AB62" s="12"/>
    </row>
    <row r="63" customFormat="false" ht="23.85" hidden="false" customHeight="false" outlineLevel="0" collapsed="false">
      <c r="A63" s="11" t="n">
        <v>62</v>
      </c>
      <c r="B63" s="18" t="s">
        <v>409</v>
      </c>
      <c r="C63" s="11" t="s">
        <v>220</v>
      </c>
      <c r="D63" s="11" t="s">
        <v>215</v>
      </c>
      <c r="E63" s="11" t="s">
        <v>214</v>
      </c>
      <c r="F63" s="12" t="s">
        <v>199</v>
      </c>
      <c r="G63" s="12" t="s">
        <v>410</v>
      </c>
      <c r="H63" s="11" t="s">
        <v>411</v>
      </c>
      <c r="I63" s="13"/>
      <c r="J63" s="19"/>
      <c r="K63" s="11" t="n">
        <f aca="false">COUNTIF('Post Plan'!$I$2:$I$348,B63)</f>
        <v>3</v>
      </c>
      <c r="L63" s="20" t="n">
        <f aca="false">COUNTIFS('Post Plan'!$I$2:$I$348,$B63,'Post Plan'!$J$2:$J$348,"Eat")</f>
        <v>1</v>
      </c>
      <c r="M63" s="20" t="n">
        <f aca="false">COUNTIFS('Post Plan'!$I$2:$I$348,$B63,'Post Plan'!$J$2:$J$348,"Drink")</f>
        <v>1</v>
      </c>
      <c r="N63" s="20" t="n">
        <f aca="false">COUNTIFS('Post Plan'!$I$2:$I$348,$B63,'Post Plan'!$J$2:$J$348,"Explore nearby")</f>
        <v>1</v>
      </c>
      <c r="O63" s="20" t="n">
        <f aca="false">COUNTIFS('Post Plan'!$I$2:$I$348,$B63,'Post Plan'!$J$2:$J$348,"See &amp; do")</f>
        <v>0</v>
      </c>
      <c r="P63" s="20" t="n">
        <f aca="false">COUNTIFS('Post Plan'!$I$2:$I$348,$B63,'Post Plan'!$J$2:$J$348,"Beaches &amp; islands")</f>
        <v>0</v>
      </c>
      <c r="Q63" s="20" t="n">
        <f aca="false">COUNTIFS('Post Plan'!$I$2:$I$348,$B63,'Post Plan'!$J$2:$J$348,"Towns, villages &amp; nature")</f>
        <v>0</v>
      </c>
      <c r="R63" s="13" t="n">
        <f aca="false">SUMIF('Post Plan'!$I$2:$I$348,B63,'Post Plan'!$M$2:$M$348)</f>
        <v>1140</v>
      </c>
      <c r="S63" s="21" t="n">
        <f aca="false">SUMIF('Post Plan'!$I$2:$I$348,B63,'Post Plan'!$O$2:$O$348)</f>
        <v>23.835602519813</v>
      </c>
      <c r="T63" s="11" t="n">
        <f aca="false">COUNTIFS('Post Plan'!$I$2:$I$348,B63,'Post Plan'!$B$2:$B$348,"Wave 1")</f>
        <v>0</v>
      </c>
      <c r="U63" s="11" t="n">
        <v>253</v>
      </c>
      <c r="V63" s="12" t="s">
        <v>223</v>
      </c>
      <c r="W63" s="14"/>
      <c r="X63" s="14"/>
      <c r="Y63" s="14" t="s">
        <v>203</v>
      </c>
      <c r="Z63" s="15"/>
      <c r="AA63" s="14" t="n">
        <f aca="false">COUNTIFS('Post Plan'!$I$2:$I$348,B63,'Post Plan'!$V$2:$V$348,"Published")</f>
        <v>0</v>
      </c>
      <c r="AB63" s="12"/>
    </row>
    <row r="64" customFormat="false" ht="23.85" hidden="false" customHeight="false" outlineLevel="0" collapsed="false">
      <c r="A64" s="11" t="n">
        <v>63</v>
      </c>
      <c r="B64" s="18" t="s">
        <v>412</v>
      </c>
      <c r="C64" s="11" t="s">
        <v>220</v>
      </c>
      <c r="D64" s="11" t="s">
        <v>215</v>
      </c>
      <c r="E64" s="11" t="s">
        <v>214</v>
      </c>
      <c r="F64" s="12" t="s">
        <v>199</v>
      </c>
      <c r="G64" s="12" t="s">
        <v>413</v>
      </c>
      <c r="H64" s="11" t="s">
        <v>414</v>
      </c>
      <c r="I64" s="13"/>
      <c r="J64" s="19"/>
      <c r="K64" s="11" t="n">
        <f aca="false">COUNTIF('Post Plan'!$I$2:$I$348,B64)</f>
        <v>3</v>
      </c>
      <c r="L64" s="20" t="n">
        <f aca="false">COUNTIFS('Post Plan'!$I$2:$I$348,$B64,'Post Plan'!$J$2:$J$348,"Eat")</f>
        <v>2</v>
      </c>
      <c r="M64" s="20" t="n">
        <f aca="false">COUNTIFS('Post Plan'!$I$2:$I$348,$B64,'Post Plan'!$J$2:$J$348,"Drink")</f>
        <v>0</v>
      </c>
      <c r="N64" s="20" t="n">
        <f aca="false">COUNTIFS('Post Plan'!$I$2:$I$348,$B64,'Post Plan'!$J$2:$J$348,"Explore nearby")</f>
        <v>0</v>
      </c>
      <c r="O64" s="20" t="n">
        <f aca="false">COUNTIFS('Post Plan'!$I$2:$I$348,$B64,'Post Plan'!$J$2:$J$348,"See &amp; do")</f>
        <v>0</v>
      </c>
      <c r="P64" s="20" t="n">
        <f aca="false">COUNTIFS('Post Plan'!$I$2:$I$348,$B64,'Post Plan'!$J$2:$J$348,"Beaches &amp; islands")</f>
        <v>1</v>
      </c>
      <c r="Q64" s="20" t="n">
        <f aca="false">COUNTIFS('Post Plan'!$I$2:$I$348,$B64,'Post Plan'!$J$2:$J$348,"Towns, villages &amp; nature")</f>
        <v>0</v>
      </c>
      <c r="R64" s="13" t="n">
        <f aca="false">SUMIF('Post Plan'!$I$2:$I$348,B64,'Post Plan'!$M$2:$M$348)</f>
        <v>1390</v>
      </c>
      <c r="S64" s="21" t="n">
        <f aca="false">SUMIF('Post Plan'!$I$2:$I$348,B64,'Post Plan'!$O$2:$O$348)</f>
        <v>23.534445189366</v>
      </c>
      <c r="T64" s="11" t="n">
        <f aca="false">COUNTIFS('Post Plan'!$I$2:$I$348,B64,'Post Plan'!$B$2:$B$348,"Wave 1")</f>
        <v>0</v>
      </c>
      <c r="U64" s="11" t="n">
        <v>228</v>
      </c>
      <c r="V64" s="12" t="s">
        <v>223</v>
      </c>
      <c r="W64" s="14"/>
      <c r="X64" s="14"/>
      <c r="Y64" s="14" t="s">
        <v>203</v>
      </c>
      <c r="Z64" s="15"/>
      <c r="AA64" s="14" t="n">
        <f aca="false">COUNTIFS('Post Plan'!$I$2:$I$348,B64,'Post Plan'!$V$2:$V$348,"Published")</f>
        <v>0</v>
      </c>
      <c r="AB64" s="12"/>
    </row>
    <row r="65" customFormat="false" ht="35.05" hidden="false" customHeight="false" outlineLevel="0" collapsed="false">
      <c r="A65" s="11" t="n">
        <v>64</v>
      </c>
      <c r="B65" s="18" t="s">
        <v>224</v>
      </c>
      <c r="C65" s="11" t="s">
        <v>197</v>
      </c>
      <c r="D65" s="11" t="s">
        <v>205</v>
      </c>
      <c r="E65" s="11" t="s">
        <v>205</v>
      </c>
      <c r="F65" s="12" t="s">
        <v>415</v>
      </c>
      <c r="G65" s="12" t="s">
        <v>416</v>
      </c>
      <c r="H65" s="11" t="s">
        <v>417</v>
      </c>
      <c r="I65" s="13"/>
      <c r="J65" s="19"/>
      <c r="K65" s="11" t="n">
        <f aca="false">COUNTIF('Post Plan'!$I$2:$I$348,B65)</f>
        <v>2</v>
      </c>
      <c r="L65" s="20" t="n">
        <f aca="false">COUNTIFS('Post Plan'!$I$2:$I$348,$B65,'Post Plan'!$J$2:$J$348,"Eat")</f>
        <v>1</v>
      </c>
      <c r="M65" s="20" t="n">
        <f aca="false">COUNTIFS('Post Plan'!$I$2:$I$348,$B65,'Post Plan'!$J$2:$J$348,"Drink")</f>
        <v>0</v>
      </c>
      <c r="N65" s="20" t="n">
        <f aca="false">COUNTIFS('Post Plan'!$I$2:$I$348,$B65,'Post Plan'!$J$2:$J$348,"Explore nearby")</f>
        <v>0</v>
      </c>
      <c r="O65" s="20" t="n">
        <f aca="false">COUNTIFS('Post Plan'!$I$2:$I$348,$B65,'Post Plan'!$J$2:$J$348,"See &amp; do")</f>
        <v>0</v>
      </c>
      <c r="P65" s="20" t="n">
        <f aca="false">COUNTIFS('Post Plan'!$I$2:$I$348,$B65,'Post Plan'!$J$2:$J$348,"Beaches &amp; islands")</f>
        <v>1</v>
      </c>
      <c r="Q65" s="20" t="n">
        <f aca="false">COUNTIFS('Post Plan'!$I$2:$I$348,$B65,'Post Plan'!$J$2:$J$348,"Towns, villages &amp; nature")</f>
        <v>0</v>
      </c>
      <c r="R65" s="13" t="n">
        <f aca="false">SUMIF('Post Plan'!$I$2:$I$348,B65,'Post Plan'!$M$2:$M$348)</f>
        <v>400</v>
      </c>
      <c r="S65" s="21" t="n">
        <f aca="false">SUMIF('Post Plan'!$I$2:$I$348,B65,'Post Plan'!$O$2:$O$348)</f>
        <v>18.8527131782946</v>
      </c>
      <c r="T65" s="11" t="n">
        <f aca="false">COUNTIFS('Post Plan'!$I$2:$I$348,B65,'Post Plan'!$B$2:$B$348,"Wave 1")</f>
        <v>0</v>
      </c>
      <c r="U65" s="11" t="n">
        <v>242</v>
      </c>
      <c r="V65" s="12" t="s">
        <v>418</v>
      </c>
      <c r="W65" s="14"/>
      <c r="X65" s="14"/>
      <c r="Y65" s="14" t="s">
        <v>203</v>
      </c>
      <c r="Z65" s="15"/>
      <c r="AA65" s="14" t="n">
        <f aca="false">COUNTIFS('Post Plan'!$I$2:$I$348,B65,'Post Plan'!$V$2:$V$348,"Published")</f>
        <v>0</v>
      </c>
      <c r="AB65" s="12"/>
    </row>
    <row r="66" customFormat="false" ht="35.05" hidden="false" customHeight="false" outlineLevel="0" collapsed="false">
      <c r="A66" s="11" t="n">
        <v>65</v>
      </c>
      <c r="B66" s="18" t="s">
        <v>257</v>
      </c>
      <c r="C66" s="11" t="s">
        <v>197</v>
      </c>
      <c r="D66" s="11" t="s">
        <v>246</v>
      </c>
      <c r="E66" s="11" t="s">
        <v>246</v>
      </c>
      <c r="F66" s="12" t="s">
        <v>419</v>
      </c>
      <c r="G66" s="12" t="s">
        <v>420</v>
      </c>
      <c r="H66" s="11" t="s">
        <v>421</v>
      </c>
      <c r="I66" s="13"/>
      <c r="J66" s="19"/>
      <c r="K66" s="11" t="n">
        <f aca="false">COUNTIF('Post Plan'!$I$2:$I$348,B66)</f>
        <v>2</v>
      </c>
      <c r="L66" s="20" t="n">
        <f aca="false">COUNTIFS('Post Plan'!$I$2:$I$348,$B66,'Post Plan'!$J$2:$J$348,"Eat")</f>
        <v>1</v>
      </c>
      <c r="M66" s="20" t="n">
        <f aca="false">COUNTIFS('Post Plan'!$I$2:$I$348,$B66,'Post Plan'!$J$2:$J$348,"Drink")</f>
        <v>0</v>
      </c>
      <c r="N66" s="20" t="n">
        <f aca="false">COUNTIFS('Post Plan'!$I$2:$I$348,$B66,'Post Plan'!$J$2:$J$348,"Explore nearby")</f>
        <v>1</v>
      </c>
      <c r="O66" s="20" t="n">
        <f aca="false">COUNTIFS('Post Plan'!$I$2:$I$348,$B66,'Post Plan'!$J$2:$J$348,"See &amp; do")</f>
        <v>0</v>
      </c>
      <c r="P66" s="20" t="n">
        <f aca="false">COUNTIFS('Post Plan'!$I$2:$I$348,$B66,'Post Plan'!$J$2:$J$348,"Beaches &amp; islands")</f>
        <v>0</v>
      </c>
      <c r="Q66" s="20" t="n">
        <f aca="false">COUNTIFS('Post Plan'!$I$2:$I$348,$B66,'Post Plan'!$J$2:$J$348,"Towns, villages &amp; nature")</f>
        <v>0</v>
      </c>
      <c r="R66" s="13" t="n">
        <f aca="false">SUMIF('Post Plan'!$I$2:$I$348,B66,'Post Plan'!$M$2:$M$348)</f>
        <v>310</v>
      </c>
      <c r="S66" s="21" t="n">
        <f aca="false">SUMIF('Post Plan'!$I$2:$I$348,B66,'Post Plan'!$O$2:$O$348)</f>
        <v>14.4166666666667</v>
      </c>
      <c r="T66" s="11" t="n">
        <f aca="false">COUNTIFS('Post Plan'!$I$2:$I$348,B66,'Post Plan'!$B$2:$B$348,"Wave 1")</f>
        <v>0</v>
      </c>
      <c r="U66" s="11" t="n">
        <v>272</v>
      </c>
      <c r="V66" s="12" t="s">
        <v>422</v>
      </c>
      <c r="W66" s="14"/>
      <c r="X66" s="14"/>
      <c r="Y66" s="14" t="s">
        <v>203</v>
      </c>
      <c r="Z66" s="15"/>
      <c r="AA66" s="14" t="n">
        <f aca="false">COUNTIFS('Post Plan'!$I$2:$I$348,B66,'Post Plan'!$V$2:$V$348,"Published")</f>
        <v>0</v>
      </c>
      <c r="AB66" s="12"/>
    </row>
    <row r="67" customFormat="false" ht="35.05" hidden="false" customHeight="false" outlineLevel="0" collapsed="false">
      <c r="A67" s="11" t="n">
        <v>66</v>
      </c>
      <c r="B67" s="18" t="s">
        <v>386</v>
      </c>
      <c r="C67" s="11" t="s">
        <v>209</v>
      </c>
      <c r="D67" s="11" t="s">
        <v>386</v>
      </c>
      <c r="E67" s="11" t="s">
        <v>210</v>
      </c>
      <c r="F67" s="12" t="s">
        <v>199</v>
      </c>
      <c r="G67" s="12" t="s">
        <v>423</v>
      </c>
      <c r="H67" s="11" t="s">
        <v>424</v>
      </c>
      <c r="I67" s="13"/>
      <c r="J67" s="19"/>
      <c r="K67" s="11" t="n">
        <f aca="false">COUNTIF('Post Plan'!$I$2:$I$348,B67)</f>
        <v>2</v>
      </c>
      <c r="L67" s="20" t="n">
        <f aca="false">COUNTIFS('Post Plan'!$I$2:$I$348,$B67,'Post Plan'!$J$2:$J$348,"Eat")</f>
        <v>0</v>
      </c>
      <c r="M67" s="20" t="n">
        <f aca="false">COUNTIFS('Post Plan'!$I$2:$I$348,$B67,'Post Plan'!$J$2:$J$348,"Drink")</f>
        <v>0</v>
      </c>
      <c r="N67" s="20" t="n">
        <f aca="false">COUNTIFS('Post Plan'!$I$2:$I$348,$B67,'Post Plan'!$J$2:$J$348,"Explore nearby")</f>
        <v>0</v>
      </c>
      <c r="O67" s="20" t="n">
        <f aca="false">COUNTIFS('Post Plan'!$I$2:$I$348,$B67,'Post Plan'!$J$2:$J$348,"See &amp; do")</f>
        <v>0</v>
      </c>
      <c r="P67" s="20" t="n">
        <f aca="false">COUNTIFS('Post Plan'!$I$2:$I$348,$B67,'Post Plan'!$J$2:$J$348,"Beaches &amp; islands")</f>
        <v>2</v>
      </c>
      <c r="Q67" s="20" t="n">
        <f aca="false">COUNTIFS('Post Plan'!$I$2:$I$348,$B67,'Post Plan'!$J$2:$J$348,"Towns, villages &amp; nature")</f>
        <v>0</v>
      </c>
      <c r="R67" s="13" t="n">
        <f aca="false">SUMIF('Post Plan'!$I$2:$I$348,B67,'Post Plan'!$M$2:$M$348)</f>
        <v>250</v>
      </c>
      <c r="S67" s="21" t="n">
        <f aca="false">SUMIF('Post Plan'!$I$2:$I$348,B67,'Post Plan'!$O$2:$O$348)</f>
        <v>11.4492753623188</v>
      </c>
      <c r="T67" s="11" t="n">
        <f aca="false">COUNTIFS('Post Plan'!$I$2:$I$348,B67,'Post Plan'!$B$2:$B$348,"Wave 1")</f>
        <v>0</v>
      </c>
      <c r="U67" s="11" t="n">
        <v>309</v>
      </c>
      <c r="V67" s="12" t="s">
        <v>425</v>
      </c>
      <c r="W67" s="14"/>
      <c r="X67" s="14"/>
      <c r="Y67" s="14" t="s">
        <v>203</v>
      </c>
      <c r="Z67" s="15"/>
      <c r="AA67" s="14" t="n">
        <f aca="false">COUNTIFS('Post Plan'!$I$2:$I$348,B67,'Post Plan'!$V$2:$V$348,"Published")</f>
        <v>0</v>
      </c>
      <c r="AB67" s="12"/>
    </row>
    <row r="68" customFormat="false" ht="35.05" hidden="false" customHeight="false" outlineLevel="0" collapsed="false">
      <c r="A68" s="11" t="n">
        <v>67</v>
      </c>
      <c r="B68" s="18" t="s">
        <v>247</v>
      </c>
      <c r="C68" s="11" t="s">
        <v>197</v>
      </c>
      <c r="D68" s="11" t="s">
        <v>246</v>
      </c>
      <c r="E68" s="11" t="s">
        <v>246</v>
      </c>
      <c r="F68" s="12" t="s">
        <v>426</v>
      </c>
      <c r="G68" s="12" t="s">
        <v>427</v>
      </c>
      <c r="H68" s="11" t="s">
        <v>428</v>
      </c>
      <c r="I68" s="13"/>
      <c r="J68" s="19"/>
      <c r="K68" s="11" t="n">
        <f aca="false">COUNTIF('Post Plan'!$I$2:$I$348,B68)</f>
        <v>0</v>
      </c>
      <c r="L68" s="20" t="n">
        <f aca="false">COUNTIFS('Post Plan'!$I$2:$I$348,$B68,'Post Plan'!$J$2:$J$348,"Eat")</f>
        <v>0</v>
      </c>
      <c r="M68" s="20" t="n">
        <f aca="false">COUNTIFS('Post Plan'!$I$2:$I$348,$B68,'Post Plan'!$J$2:$J$348,"Drink")</f>
        <v>0</v>
      </c>
      <c r="N68" s="20" t="n">
        <f aca="false">COUNTIFS('Post Plan'!$I$2:$I$348,$B68,'Post Plan'!$J$2:$J$348,"Explore nearby")</f>
        <v>0</v>
      </c>
      <c r="O68" s="20" t="n">
        <f aca="false">COUNTIFS('Post Plan'!$I$2:$I$348,$B68,'Post Plan'!$J$2:$J$348,"See &amp; do")</f>
        <v>0</v>
      </c>
      <c r="P68" s="20" t="n">
        <f aca="false">COUNTIFS('Post Plan'!$I$2:$I$348,$B68,'Post Plan'!$J$2:$J$348,"Beaches &amp; islands")</f>
        <v>0</v>
      </c>
      <c r="Q68" s="20" t="n">
        <f aca="false">COUNTIFS('Post Plan'!$I$2:$I$348,$B68,'Post Plan'!$J$2:$J$348,"Towns, villages &amp; nature")</f>
        <v>0</v>
      </c>
      <c r="R68" s="13" t="n">
        <f aca="false">SUMIF('Post Plan'!$I$2:$I$348,B68,'Post Plan'!$M$2:$M$348)</f>
        <v>0</v>
      </c>
      <c r="S68" s="21" t="n">
        <f aca="false">SUMIF('Post Plan'!$I$2:$I$348,B68,'Post Plan'!$O$2:$O$348)</f>
        <v>0</v>
      </c>
      <c r="T68" s="11" t="n">
        <f aca="false">COUNTIFS('Post Plan'!$I$2:$I$348,B68,'Post Plan'!$B$2:$B$348,"Wave 1")</f>
        <v>0</v>
      </c>
      <c r="U68" s="11"/>
      <c r="V68" s="12" t="s">
        <v>429</v>
      </c>
      <c r="W68" s="14"/>
      <c r="X68" s="14"/>
      <c r="Y68" s="14" t="s">
        <v>203</v>
      </c>
      <c r="Z68" s="15"/>
      <c r="AA68" s="14" t="n">
        <f aca="false">COUNTIFS('Post Plan'!$I$2:$I$348,B68,'Post Plan'!$V$2:$V$348,"Published")</f>
        <v>0</v>
      </c>
      <c r="AB68" s="12"/>
    </row>
  </sheetData>
  <autoFilter ref="A1:AB68"/>
  <conditionalFormatting sqref="L2:L68">
    <cfRule type="expression" priority="2" aboveAverage="0" equalAverage="0" bottom="0" percent="0" rank="0" text="" dxfId="8">
      <formula>L2&gt;0</formula>
    </cfRule>
  </conditionalFormatting>
  <conditionalFormatting sqref="M2:M68">
    <cfRule type="expression" priority="3" aboveAverage="0" equalAverage="0" bottom="0" percent="0" rank="0" text="" dxfId="8">
      <formula>M2&gt;0</formula>
    </cfRule>
  </conditionalFormatting>
  <conditionalFormatting sqref="N2:N68">
    <cfRule type="expression" priority="4" aboveAverage="0" equalAverage="0" bottom="0" percent="0" rank="0" text="" dxfId="8">
      <formula>N2&gt;0</formula>
    </cfRule>
  </conditionalFormatting>
  <conditionalFormatting sqref="O2:O68">
    <cfRule type="expression" priority="5" aboveAverage="0" equalAverage="0" bottom="0" percent="0" rank="0" text="" dxfId="8">
      <formula>O2&gt;0</formula>
    </cfRule>
  </conditionalFormatting>
  <conditionalFormatting sqref="P2:P68">
    <cfRule type="expression" priority="6" aboveAverage="0" equalAverage="0" bottom="0" percent="0" rank="0" text="" dxfId="8">
      <formula>P2&gt;0</formula>
    </cfRule>
  </conditionalFormatting>
  <conditionalFormatting sqref="Q2:Q68">
    <cfRule type="expression" priority="7" aboveAverage="0" equalAverage="0" bottom="0" percent="0" rank="0" text="" dxfId="8">
      <formula>Q2&gt;0</formula>
    </cfRule>
  </conditionalFormatting>
  <conditionalFormatting sqref="F2:F68">
    <cfRule type="expression" priority="8" aboveAverage="0" equalAverage="0" bottom="0" percent="0" rank="0" text="" dxfId="9">
      <formula>LEFT($F2,8)="Existing"</formula>
    </cfRule>
  </conditionalFormatting>
  <dataValidations count="1">
    <dataValidation allowBlank="true" errorStyle="stop" operator="between" showDropDown="false" showErrorMessage="false" showInputMessage="false" sqref="Y2:Y68" type="list">
      <formula1>"Not started,Briefed,Writing,In review,Scheduled,Published"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8" min="3" style="0" width="22"/>
    <col collapsed="false" customWidth="true" hidden="false" outlineLevel="0" max="9" min="9" style="0" width="8"/>
  </cols>
  <sheetData>
    <row r="1" customFormat="false" ht="33.75" hidden="false" customHeight="true" outlineLevel="0" collapsed="false">
      <c r="A1" s="9" t="s">
        <v>172</v>
      </c>
      <c r="B1" s="9" t="s">
        <v>173</v>
      </c>
      <c r="C1" s="9" t="s">
        <v>71</v>
      </c>
      <c r="D1" s="9" t="s">
        <v>143</v>
      </c>
      <c r="E1" s="9" t="s">
        <v>56</v>
      </c>
      <c r="F1" s="9" t="s">
        <v>182</v>
      </c>
      <c r="G1" s="9" t="s">
        <v>183</v>
      </c>
      <c r="H1" s="9" t="s">
        <v>184</v>
      </c>
      <c r="I1" s="9" t="s">
        <v>430</v>
      </c>
    </row>
    <row r="2" customFormat="false" ht="64.5" hidden="false" customHeight="true" outlineLevel="0" collapsed="false">
      <c r="A2" s="3" t="s">
        <v>196</v>
      </c>
      <c r="B2" s="6" t="s">
        <v>197</v>
      </c>
      <c r="C2" s="22" t="s">
        <v>431</v>
      </c>
      <c r="D2" s="22" t="s">
        <v>432</v>
      </c>
      <c r="E2" s="22" t="s">
        <v>433</v>
      </c>
      <c r="F2" s="23"/>
      <c r="G2" s="22" t="s">
        <v>434</v>
      </c>
      <c r="H2" s="22" t="s">
        <v>435</v>
      </c>
      <c r="I2" s="6" t="n">
        <f aca="false">COUNTIF('Post Plan'!$I$2:$I$348,A2)</f>
        <v>16</v>
      </c>
    </row>
    <row r="3" customFormat="false" ht="64.5" hidden="false" customHeight="true" outlineLevel="0" collapsed="false">
      <c r="A3" s="3" t="s">
        <v>204</v>
      </c>
      <c r="B3" s="6" t="s">
        <v>197</v>
      </c>
      <c r="C3" s="22" t="s">
        <v>436</v>
      </c>
      <c r="D3" s="22" t="s">
        <v>437</v>
      </c>
      <c r="E3" s="22" t="s">
        <v>438</v>
      </c>
      <c r="F3" s="22" t="s">
        <v>439</v>
      </c>
      <c r="G3" s="22" t="s">
        <v>440</v>
      </c>
      <c r="H3" s="22" t="s">
        <v>441</v>
      </c>
      <c r="I3" s="6" t="n">
        <f aca="false">COUNTIF('Post Plan'!$I$2:$I$348,A3)</f>
        <v>14</v>
      </c>
    </row>
    <row r="4" customFormat="false" ht="64.5" hidden="false" customHeight="true" outlineLevel="0" collapsed="false">
      <c r="A4" s="3" t="s">
        <v>205</v>
      </c>
      <c r="B4" s="6" t="s">
        <v>209</v>
      </c>
      <c r="C4" s="22" t="s">
        <v>442</v>
      </c>
      <c r="D4" s="23"/>
      <c r="E4" s="22" t="s">
        <v>443</v>
      </c>
      <c r="F4" s="22" t="s">
        <v>444</v>
      </c>
      <c r="G4" s="22" t="s">
        <v>445</v>
      </c>
      <c r="H4" s="22" t="s">
        <v>446</v>
      </c>
      <c r="I4" s="6" t="n">
        <f aca="false">COUNTIF('Post Plan'!$I$2:$I$348,A4)</f>
        <v>11</v>
      </c>
    </row>
    <row r="5" customFormat="false" ht="78" hidden="false" customHeight="true" outlineLevel="0" collapsed="false">
      <c r="A5" s="3" t="s">
        <v>214</v>
      </c>
      <c r="B5" s="6" t="s">
        <v>197</v>
      </c>
      <c r="C5" s="22" t="s">
        <v>447</v>
      </c>
      <c r="D5" s="22" t="s">
        <v>448</v>
      </c>
      <c r="E5" s="22" t="s">
        <v>449</v>
      </c>
      <c r="F5" s="23"/>
      <c r="G5" s="22" t="s">
        <v>450</v>
      </c>
      <c r="H5" s="22" t="s">
        <v>451</v>
      </c>
      <c r="I5" s="6" t="n">
        <f aca="false">COUNTIF('Post Plan'!$I$2:$I$348,A5)</f>
        <v>13</v>
      </c>
    </row>
    <row r="6" customFormat="false" ht="25.5" hidden="false" customHeight="true" outlineLevel="0" collapsed="false">
      <c r="A6" s="3" t="s">
        <v>70</v>
      </c>
      <c r="B6" s="6" t="s">
        <v>220</v>
      </c>
      <c r="C6" s="22" t="s">
        <v>452</v>
      </c>
      <c r="D6" s="22" t="s">
        <v>453</v>
      </c>
      <c r="E6" s="22" t="s">
        <v>454</v>
      </c>
      <c r="F6" s="23"/>
      <c r="G6" s="23"/>
      <c r="H6" s="23"/>
      <c r="I6" s="6" t="n">
        <f aca="false">COUNTIF('Post Plan'!$I$2:$I$348,A6)</f>
        <v>4</v>
      </c>
    </row>
    <row r="7" customFormat="false" ht="64.5" hidden="false" customHeight="true" outlineLevel="0" collapsed="false">
      <c r="A7" s="3" t="s">
        <v>89</v>
      </c>
      <c r="B7" s="6" t="s">
        <v>220</v>
      </c>
      <c r="C7" s="22" t="s">
        <v>455</v>
      </c>
      <c r="D7" s="22" t="s">
        <v>456</v>
      </c>
      <c r="E7" s="22" t="s">
        <v>457</v>
      </c>
      <c r="F7" s="23"/>
      <c r="G7" s="23"/>
      <c r="H7" s="23"/>
      <c r="I7" s="6" t="n">
        <f aca="false">COUNTIF('Post Plan'!$I$2:$I$348,A7)</f>
        <v>9</v>
      </c>
    </row>
    <row r="8" customFormat="false" ht="51.75" hidden="false" customHeight="true" outlineLevel="0" collapsed="false">
      <c r="A8" s="3" t="s">
        <v>227</v>
      </c>
      <c r="B8" s="6" t="s">
        <v>220</v>
      </c>
      <c r="C8" s="22" t="s">
        <v>458</v>
      </c>
      <c r="D8" s="22" t="s">
        <v>459</v>
      </c>
      <c r="E8" s="22" t="s">
        <v>460</v>
      </c>
      <c r="F8" s="22" t="s">
        <v>461</v>
      </c>
      <c r="G8" s="23"/>
      <c r="H8" s="23"/>
      <c r="I8" s="6" t="n">
        <f aca="false">COUNTIF('Post Plan'!$I$2:$I$348,A8)</f>
        <v>8</v>
      </c>
    </row>
    <row r="9" customFormat="false" ht="51.75" hidden="false" customHeight="true" outlineLevel="0" collapsed="false">
      <c r="A9" s="3" t="s">
        <v>231</v>
      </c>
      <c r="B9" s="6" t="s">
        <v>220</v>
      </c>
      <c r="C9" s="22" t="s">
        <v>462</v>
      </c>
      <c r="D9" s="22" t="s">
        <v>463</v>
      </c>
      <c r="E9" s="23"/>
      <c r="F9" s="22" t="s">
        <v>464</v>
      </c>
      <c r="G9" s="23"/>
      <c r="H9" s="23"/>
      <c r="I9" s="6" t="n">
        <f aca="false">COUNTIF('Post Plan'!$I$2:$I$348,A9)</f>
        <v>8</v>
      </c>
    </row>
    <row r="10" customFormat="false" ht="51.75" hidden="false" customHeight="true" outlineLevel="0" collapsed="false">
      <c r="A10" s="3" t="s">
        <v>235</v>
      </c>
      <c r="B10" s="6" t="s">
        <v>220</v>
      </c>
      <c r="C10" s="22" t="s">
        <v>465</v>
      </c>
      <c r="D10" s="22" t="s">
        <v>466</v>
      </c>
      <c r="E10" s="22" t="s">
        <v>467</v>
      </c>
      <c r="F10" s="23"/>
      <c r="G10" s="23"/>
      <c r="H10" s="23"/>
      <c r="I10" s="6" t="n">
        <f aca="false">COUNTIF('Post Plan'!$I$2:$I$348,A10)</f>
        <v>7</v>
      </c>
    </row>
    <row r="11" customFormat="false" ht="39" hidden="false" customHeight="true" outlineLevel="0" collapsed="false">
      <c r="A11" s="3" t="s">
        <v>238</v>
      </c>
      <c r="B11" s="6" t="s">
        <v>220</v>
      </c>
      <c r="C11" s="22" t="s">
        <v>468</v>
      </c>
      <c r="D11" s="22" t="s">
        <v>469</v>
      </c>
      <c r="E11" s="22" t="s">
        <v>470</v>
      </c>
      <c r="F11" s="23"/>
      <c r="G11" s="23"/>
      <c r="H11" s="23"/>
      <c r="I11" s="6" t="n">
        <f aca="false">COUNTIF('Post Plan'!$I$2:$I$348,A11)</f>
        <v>6</v>
      </c>
    </row>
    <row r="12" customFormat="false" ht="51.75" hidden="false" customHeight="true" outlineLevel="0" collapsed="false">
      <c r="A12" s="3" t="s">
        <v>55</v>
      </c>
      <c r="B12" s="6" t="s">
        <v>220</v>
      </c>
      <c r="C12" s="22" t="s">
        <v>471</v>
      </c>
      <c r="D12" s="22" t="s">
        <v>472</v>
      </c>
      <c r="E12" s="22" t="s">
        <v>473</v>
      </c>
      <c r="F12" s="23"/>
      <c r="G12" s="23"/>
      <c r="H12" s="23"/>
      <c r="I12" s="6" t="n">
        <f aca="false">COUNTIF('Post Plan'!$I$2:$I$348,A12)</f>
        <v>8</v>
      </c>
    </row>
    <row r="13" customFormat="false" ht="51.75" hidden="false" customHeight="true" outlineLevel="0" collapsed="false">
      <c r="A13" s="3" t="s">
        <v>133</v>
      </c>
      <c r="B13" s="6" t="s">
        <v>220</v>
      </c>
      <c r="C13" s="22" t="s">
        <v>474</v>
      </c>
      <c r="D13" s="22" t="s">
        <v>475</v>
      </c>
      <c r="E13" s="22" t="s">
        <v>476</v>
      </c>
      <c r="F13" s="22" t="s">
        <v>477</v>
      </c>
      <c r="G13" s="23"/>
      <c r="H13" s="23"/>
      <c r="I13" s="6" t="n">
        <f aca="false">COUNTIF('Post Plan'!$I$2:$I$348,A13)</f>
        <v>7</v>
      </c>
    </row>
    <row r="14" customFormat="false" ht="51.75" hidden="false" customHeight="true" outlineLevel="0" collapsed="false">
      <c r="A14" s="3" t="s">
        <v>80</v>
      </c>
      <c r="B14" s="6" t="s">
        <v>220</v>
      </c>
      <c r="C14" s="22" t="s">
        <v>478</v>
      </c>
      <c r="D14" s="22" t="s">
        <v>479</v>
      </c>
      <c r="E14" s="22" t="s">
        <v>480</v>
      </c>
      <c r="F14" s="23"/>
      <c r="G14" s="23"/>
      <c r="H14" s="23"/>
      <c r="I14" s="6" t="n">
        <f aca="false">COUNTIF('Post Plan'!$I$2:$I$348,A14)</f>
        <v>6</v>
      </c>
    </row>
    <row r="15" customFormat="false" ht="39" hidden="false" customHeight="true" outlineLevel="0" collapsed="false">
      <c r="A15" s="3" t="s">
        <v>232</v>
      </c>
      <c r="B15" s="6" t="s">
        <v>197</v>
      </c>
      <c r="C15" s="22" t="s">
        <v>481</v>
      </c>
      <c r="D15" s="23"/>
      <c r="E15" s="22" t="s">
        <v>482</v>
      </c>
      <c r="F15" s="22" t="s">
        <v>483</v>
      </c>
      <c r="G15" s="22" t="s">
        <v>484</v>
      </c>
      <c r="H15" s="22" t="s">
        <v>485</v>
      </c>
      <c r="I15" s="6" t="n">
        <f aca="false">COUNTIF('Post Plan'!$I$2:$I$348,A15)</f>
        <v>10</v>
      </c>
    </row>
    <row r="16" customFormat="false" ht="64.5" hidden="false" customHeight="true" outlineLevel="0" collapsed="false">
      <c r="A16" s="3" t="s">
        <v>256</v>
      </c>
      <c r="B16" s="6" t="s">
        <v>220</v>
      </c>
      <c r="C16" s="22" t="s">
        <v>486</v>
      </c>
      <c r="D16" s="22" t="s">
        <v>487</v>
      </c>
      <c r="E16" s="22" t="s">
        <v>488</v>
      </c>
      <c r="F16" s="23"/>
      <c r="G16" s="23"/>
      <c r="H16" s="23"/>
      <c r="I16" s="6" t="n">
        <f aca="false">COUNTIF('Post Plan'!$I$2:$I$348,A16)</f>
        <v>7</v>
      </c>
    </row>
    <row r="17" customFormat="false" ht="78" hidden="false" customHeight="true" outlineLevel="0" collapsed="false">
      <c r="A17" s="3" t="s">
        <v>106</v>
      </c>
      <c r="B17" s="6" t="s">
        <v>220</v>
      </c>
      <c r="C17" s="22" t="s">
        <v>489</v>
      </c>
      <c r="D17" s="22" t="s">
        <v>490</v>
      </c>
      <c r="E17" s="22" t="s">
        <v>491</v>
      </c>
      <c r="F17" s="23"/>
      <c r="G17" s="23"/>
      <c r="H17" s="23"/>
      <c r="I17" s="6" t="n">
        <f aca="false">COUNTIF('Post Plan'!$I$2:$I$348,A17)</f>
        <v>10</v>
      </c>
    </row>
    <row r="18" customFormat="false" ht="25.5" hidden="false" customHeight="true" outlineLevel="0" collapsed="false">
      <c r="A18" s="3" t="s">
        <v>263</v>
      </c>
      <c r="B18" s="6" t="s">
        <v>220</v>
      </c>
      <c r="C18" s="22" t="s">
        <v>492</v>
      </c>
      <c r="D18" s="22" t="s">
        <v>493</v>
      </c>
      <c r="E18" s="22" t="s">
        <v>494</v>
      </c>
      <c r="F18" s="23"/>
      <c r="G18" s="22" t="s">
        <v>495</v>
      </c>
      <c r="H18" s="23"/>
      <c r="I18" s="6" t="n">
        <f aca="false">COUNTIF('Post Plan'!$I$2:$I$348,A18)</f>
        <v>6</v>
      </c>
    </row>
    <row r="19" customFormat="false" ht="39" hidden="false" customHeight="true" outlineLevel="0" collapsed="false">
      <c r="A19" s="3" t="s">
        <v>267</v>
      </c>
      <c r="B19" s="6" t="s">
        <v>220</v>
      </c>
      <c r="C19" s="22" t="s">
        <v>496</v>
      </c>
      <c r="D19" s="22" t="s">
        <v>497</v>
      </c>
      <c r="E19" s="23"/>
      <c r="F19" s="23"/>
      <c r="G19" s="23"/>
      <c r="H19" s="23"/>
      <c r="I19" s="6" t="n">
        <f aca="false">COUNTIF('Post Plan'!$I$2:$I$348,A19)</f>
        <v>5</v>
      </c>
    </row>
    <row r="20" customFormat="false" ht="51.75" hidden="false" customHeight="true" outlineLevel="0" collapsed="false">
      <c r="A20" s="3" t="s">
        <v>270</v>
      </c>
      <c r="B20" s="6" t="s">
        <v>220</v>
      </c>
      <c r="C20" s="22" t="s">
        <v>498</v>
      </c>
      <c r="D20" s="23"/>
      <c r="E20" s="22" t="s">
        <v>499</v>
      </c>
      <c r="F20" s="22" t="s">
        <v>500</v>
      </c>
      <c r="G20" s="23"/>
      <c r="H20" s="23"/>
      <c r="I20" s="6" t="n">
        <f aca="false">COUNTIF('Post Plan'!$I$2:$I$348,A20)</f>
        <v>6</v>
      </c>
    </row>
    <row r="21" customFormat="false" ht="51.75" hidden="false" customHeight="true" outlineLevel="0" collapsed="false">
      <c r="A21" s="3" t="s">
        <v>115</v>
      </c>
      <c r="B21" s="6" t="s">
        <v>220</v>
      </c>
      <c r="C21" s="22" t="s">
        <v>501</v>
      </c>
      <c r="D21" s="22" t="s">
        <v>502</v>
      </c>
      <c r="E21" s="22" t="s">
        <v>503</v>
      </c>
      <c r="F21" s="23"/>
      <c r="G21" s="23"/>
      <c r="H21" s="23"/>
      <c r="I21" s="6" t="n">
        <f aca="false">COUNTIF('Post Plan'!$I$2:$I$348,A21)</f>
        <v>6</v>
      </c>
    </row>
    <row r="22" customFormat="false" ht="64.5" hidden="false" customHeight="true" outlineLevel="0" collapsed="false">
      <c r="A22" s="3" t="s">
        <v>276</v>
      </c>
      <c r="B22" s="6" t="s">
        <v>197</v>
      </c>
      <c r="C22" s="22" t="s">
        <v>504</v>
      </c>
      <c r="D22" s="22" t="s">
        <v>505</v>
      </c>
      <c r="E22" s="22" t="s">
        <v>506</v>
      </c>
      <c r="F22" s="23"/>
      <c r="G22" s="23"/>
      <c r="H22" s="23"/>
      <c r="I22" s="6" t="n">
        <f aca="false">COUNTIF('Post Plan'!$I$2:$I$348,A22)</f>
        <v>7</v>
      </c>
    </row>
    <row r="23" customFormat="false" ht="51.75" hidden="false" customHeight="true" outlineLevel="0" collapsed="false">
      <c r="A23" s="3" t="s">
        <v>279</v>
      </c>
      <c r="B23" s="6" t="s">
        <v>220</v>
      </c>
      <c r="C23" s="22" t="s">
        <v>507</v>
      </c>
      <c r="D23" s="22" t="s">
        <v>508</v>
      </c>
      <c r="E23" s="23"/>
      <c r="F23" s="22" t="s">
        <v>509</v>
      </c>
      <c r="G23" s="23"/>
      <c r="H23" s="23"/>
      <c r="I23" s="6" t="n">
        <f aca="false">COUNTIF('Post Plan'!$I$2:$I$348,A23)</f>
        <v>6</v>
      </c>
    </row>
    <row r="24" customFormat="false" ht="39" hidden="false" customHeight="true" outlineLevel="0" collapsed="false">
      <c r="A24" s="3" t="s">
        <v>282</v>
      </c>
      <c r="B24" s="6" t="s">
        <v>220</v>
      </c>
      <c r="C24" s="22" t="s">
        <v>510</v>
      </c>
      <c r="D24" s="22" t="s">
        <v>511</v>
      </c>
      <c r="E24" s="22" t="s">
        <v>512</v>
      </c>
      <c r="F24" s="23"/>
      <c r="G24" s="23"/>
      <c r="H24" s="23"/>
      <c r="I24" s="6" t="n">
        <f aca="false">COUNTIF('Post Plan'!$I$2:$I$348,A24)</f>
        <v>6</v>
      </c>
    </row>
    <row r="25" customFormat="false" ht="25.5" hidden="false" customHeight="true" outlineLevel="0" collapsed="false">
      <c r="A25" s="3" t="s">
        <v>287</v>
      </c>
      <c r="B25" s="6" t="s">
        <v>220</v>
      </c>
      <c r="C25" s="22" t="s">
        <v>513</v>
      </c>
      <c r="D25" s="22" t="s">
        <v>514</v>
      </c>
      <c r="E25" s="23"/>
      <c r="F25" s="23"/>
      <c r="G25" s="23"/>
      <c r="H25" s="23"/>
      <c r="I25" s="6" t="n">
        <f aca="false">COUNTIF('Post Plan'!$I$2:$I$348,A25)</f>
        <v>3</v>
      </c>
    </row>
    <row r="26" customFormat="false" ht="51.75" hidden="false" customHeight="true" outlineLevel="0" collapsed="false">
      <c r="A26" s="3" t="s">
        <v>290</v>
      </c>
      <c r="B26" s="6" t="s">
        <v>220</v>
      </c>
      <c r="C26" s="22" t="s">
        <v>515</v>
      </c>
      <c r="D26" s="22" t="s">
        <v>516</v>
      </c>
      <c r="E26" s="22" t="s">
        <v>517</v>
      </c>
      <c r="F26" s="23"/>
      <c r="G26" s="23"/>
      <c r="H26" s="23"/>
      <c r="I26" s="6" t="n">
        <f aca="false">COUNTIF('Post Plan'!$I$2:$I$348,A26)</f>
        <v>7</v>
      </c>
    </row>
    <row r="27" customFormat="false" ht="25.5" hidden="false" customHeight="true" outlineLevel="0" collapsed="false">
      <c r="A27" s="3" t="s">
        <v>124</v>
      </c>
      <c r="B27" s="6" t="s">
        <v>220</v>
      </c>
      <c r="C27" s="22" t="s">
        <v>518</v>
      </c>
      <c r="D27" s="22" t="s">
        <v>519</v>
      </c>
      <c r="E27" s="23"/>
      <c r="F27" s="23"/>
      <c r="G27" s="23"/>
      <c r="H27" s="23"/>
      <c r="I27" s="6" t="n">
        <f aca="false">COUNTIF('Post Plan'!$I$2:$I$348,A27)</f>
        <v>3</v>
      </c>
    </row>
    <row r="28" customFormat="false" ht="25.5" hidden="false" customHeight="true" outlineLevel="0" collapsed="false">
      <c r="A28" s="3" t="s">
        <v>142</v>
      </c>
      <c r="B28" s="6" t="s">
        <v>220</v>
      </c>
      <c r="C28" s="23"/>
      <c r="D28" s="22" t="s">
        <v>520</v>
      </c>
      <c r="E28" s="22" t="s">
        <v>521</v>
      </c>
      <c r="F28" s="23"/>
      <c r="G28" s="23"/>
      <c r="H28" s="23"/>
      <c r="I28" s="6" t="n">
        <f aca="false">COUNTIF('Post Plan'!$I$2:$I$348,A28)</f>
        <v>3</v>
      </c>
    </row>
    <row r="29" customFormat="false" ht="64.5" hidden="false" customHeight="true" outlineLevel="0" collapsed="false">
      <c r="A29" s="3" t="s">
        <v>298</v>
      </c>
      <c r="B29" s="6" t="s">
        <v>220</v>
      </c>
      <c r="C29" s="22" t="s">
        <v>522</v>
      </c>
      <c r="D29" s="22" t="s">
        <v>523</v>
      </c>
      <c r="E29" s="23"/>
      <c r="F29" s="22" t="s">
        <v>524</v>
      </c>
      <c r="G29" s="23"/>
      <c r="H29" s="23"/>
      <c r="I29" s="6" t="n">
        <f aca="false">COUNTIF('Post Plan'!$I$2:$I$348,A29)</f>
        <v>8</v>
      </c>
    </row>
    <row r="30" customFormat="false" ht="39" hidden="false" customHeight="true" outlineLevel="0" collapsed="false">
      <c r="A30" s="3" t="s">
        <v>301</v>
      </c>
      <c r="B30" s="6" t="s">
        <v>220</v>
      </c>
      <c r="C30" s="22" t="s">
        <v>525</v>
      </c>
      <c r="D30" s="22" t="s">
        <v>526</v>
      </c>
      <c r="E30" s="23"/>
      <c r="F30" s="23"/>
      <c r="G30" s="23"/>
      <c r="H30" s="23"/>
      <c r="I30" s="6" t="n">
        <f aca="false">COUNTIF('Post Plan'!$I$2:$I$348,A30)</f>
        <v>4</v>
      </c>
    </row>
    <row r="31" customFormat="false" ht="25.5" hidden="false" customHeight="true" outlineLevel="0" collapsed="false">
      <c r="A31" s="3" t="s">
        <v>305</v>
      </c>
      <c r="B31" s="6" t="s">
        <v>220</v>
      </c>
      <c r="C31" s="22" t="s">
        <v>527</v>
      </c>
      <c r="D31" s="23"/>
      <c r="E31" s="22" t="s">
        <v>528</v>
      </c>
      <c r="F31" s="22" t="s">
        <v>529</v>
      </c>
      <c r="G31" s="23"/>
      <c r="H31" s="23"/>
      <c r="I31" s="6" t="n">
        <f aca="false">COUNTIF('Post Plan'!$I$2:$I$348,A31)</f>
        <v>4</v>
      </c>
    </row>
    <row r="32" customFormat="false" ht="39" hidden="false" customHeight="true" outlineLevel="0" collapsed="false">
      <c r="A32" s="3" t="s">
        <v>246</v>
      </c>
      <c r="B32" s="6" t="s">
        <v>209</v>
      </c>
      <c r="C32" s="22" t="s">
        <v>530</v>
      </c>
      <c r="D32" s="23"/>
      <c r="E32" s="22" t="s">
        <v>531</v>
      </c>
      <c r="F32" s="23"/>
      <c r="G32" s="22" t="s">
        <v>532</v>
      </c>
      <c r="H32" s="23"/>
      <c r="I32" s="6" t="n">
        <f aca="false">COUNTIF('Post Plan'!$I$2:$I$348,A32)</f>
        <v>6</v>
      </c>
    </row>
    <row r="33" customFormat="false" ht="39" hidden="false" customHeight="true" outlineLevel="0" collapsed="false">
      <c r="A33" s="3" t="s">
        <v>311</v>
      </c>
      <c r="B33" s="6" t="s">
        <v>197</v>
      </c>
      <c r="C33" s="22" t="s">
        <v>533</v>
      </c>
      <c r="D33" s="22" t="s">
        <v>534</v>
      </c>
      <c r="E33" s="22" t="s">
        <v>535</v>
      </c>
      <c r="F33" s="23"/>
      <c r="G33" s="23"/>
      <c r="H33" s="23"/>
      <c r="I33" s="6" t="n">
        <f aca="false">COUNTIF('Post Plan'!$I$2:$I$348,A33)</f>
        <v>6</v>
      </c>
    </row>
    <row r="34" customFormat="false" ht="25.5" hidden="false" customHeight="true" outlineLevel="0" collapsed="false">
      <c r="A34" s="3" t="s">
        <v>314</v>
      </c>
      <c r="B34" s="6" t="s">
        <v>197</v>
      </c>
      <c r="C34" s="23"/>
      <c r="D34" s="23"/>
      <c r="E34" s="22" t="s">
        <v>536</v>
      </c>
      <c r="F34" s="22" t="s">
        <v>537</v>
      </c>
      <c r="G34" s="22" t="s">
        <v>538</v>
      </c>
      <c r="H34" s="23"/>
      <c r="I34" s="6" t="n">
        <f aca="false">COUNTIF('Post Plan'!$I$2:$I$348,A34)</f>
        <v>4</v>
      </c>
    </row>
    <row r="35" customFormat="false" ht="25.5" hidden="false" customHeight="true" outlineLevel="0" collapsed="false">
      <c r="A35" s="3" t="s">
        <v>318</v>
      </c>
      <c r="B35" s="6" t="s">
        <v>220</v>
      </c>
      <c r="C35" s="22" t="s">
        <v>539</v>
      </c>
      <c r="D35" s="22" t="s">
        <v>540</v>
      </c>
      <c r="E35" s="22" t="s">
        <v>541</v>
      </c>
      <c r="F35" s="23"/>
      <c r="G35" s="23"/>
      <c r="H35" s="23"/>
      <c r="I35" s="6" t="n">
        <f aca="false">COUNTIF('Post Plan'!$I$2:$I$348,A35)</f>
        <v>4</v>
      </c>
    </row>
    <row r="36" customFormat="false" ht="39" hidden="false" customHeight="true" outlineLevel="0" collapsed="false">
      <c r="A36" s="3" t="s">
        <v>241</v>
      </c>
      <c r="B36" s="6" t="s">
        <v>197</v>
      </c>
      <c r="C36" s="23"/>
      <c r="D36" s="23"/>
      <c r="E36" s="22" t="s">
        <v>542</v>
      </c>
      <c r="F36" s="22" t="s">
        <v>543</v>
      </c>
      <c r="G36" s="22" t="s">
        <v>544</v>
      </c>
      <c r="H36" s="22" t="s">
        <v>545</v>
      </c>
      <c r="I36" s="6" t="n">
        <f aca="false">COUNTIF('Post Plan'!$I$2:$I$348,A36)</f>
        <v>8</v>
      </c>
    </row>
    <row r="37" customFormat="false" ht="39" hidden="false" customHeight="true" outlineLevel="0" collapsed="false">
      <c r="A37" s="3" t="s">
        <v>324</v>
      </c>
      <c r="B37" s="6" t="s">
        <v>220</v>
      </c>
      <c r="C37" s="22" t="s">
        <v>546</v>
      </c>
      <c r="D37" s="22" t="s">
        <v>547</v>
      </c>
      <c r="E37" s="22" t="s">
        <v>548</v>
      </c>
      <c r="F37" s="23"/>
      <c r="G37" s="23"/>
      <c r="H37" s="23"/>
      <c r="I37" s="6" t="n">
        <f aca="false">COUNTIF('Post Plan'!$I$2:$I$348,A37)</f>
        <v>5</v>
      </c>
    </row>
    <row r="38" customFormat="false" ht="25.5" hidden="false" customHeight="true" outlineLevel="0" collapsed="false">
      <c r="A38" s="3" t="s">
        <v>327</v>
      </c>
      <c r="B38" s="6" t="s">
        <v>220</v>
      </c>
      <c r="C38" s="22" t="s">
        <v>549</v>
      </c>
      <c r="D38" s="22" t="s">
        <v>550</v>
      </c>
      <c r="E38" s="23"/>
      <c r="F38" s="23"/>
      <c r="G38" s="23"/>
      <c r="H38" s="23"/>
      <c r="I38" s="6" t="n">
        <f aca="false">COUNTIF('Post Plan'!$I$2:$I$348,A38)</f>
        <v>3</v>
      </c>
    </row>
    <row r="39" customFormat="false" ht="25.5" hidden="false" customHeight="true" outlineLevel="0" collapsed="false">
      <c r="A39" s="3" t="s">
        <v>228</v>
      </c>
      <c r="B39" s="6" t="s">
        <v>197</v>
      </c>
      <c r="C39" s="22" t="s">
        <v>551</v>
      </c>
      <c r="D39" s="23"/>
      <c r="E39" s="22" t="s">
        <v>552</v>
      </c>
      <c r="F39" s="22" t="s">
        <v>553</v>
      </c>
      <c r="G39" s="23"/>
      <c r="H39" s="22" t="s">
        <v>554</v>
      </c>
      <c r="I39" s="6" t="n">
        <f aca="false">COUNTIF('Post Plan'!$I$2:$I$348,A39)</f>
        <v>5</v>
      </c>
    </row>
    <row r="40" customFormat="false" ht="51.75" hidden="false" customHeight="true" outlineLevel="0" collapsed="false">
      <c r="A40" s="3" t="s">
        <v>333</v>
      </c>
      <c r="B40" s="6" t="s">
        <v>220</v>
      </c>
      <c r="C40" s="22" t="s">
        <v>555</v>
      </c>
      <c r="D40" s="22" t="s">
        <v>556</v>
      </c>
      <c r="E40" s="23"/>
      <c r="F40" s="23"/>
      <c r="G40" s="23"/>
      <c r="H40" s="23"/>
      <c r="I40" s="6" t="n">
        <f aca="false">COUNTIF('Post Plan'!$I$2:$I$348,A40)</f>
        <v>5</v>
      </c>
    </row>
    <row r="41" customFormat="false" ht="25.5" hidden="false" customHeight="true" outlineLevel="0" collapsed="false">
      <c r="A41" s="3" t="s">
        <v>337</v>
      </c>
      <c r="B41" s="6" t="s">
        <v>197</v>
      </c>
      <c r="C41" s="22" t="s">
        <v>557</v>
      </c>
      <c r="D41" s="23"/>
      <c r="E41" s="22" t="s">
        <v>558</v>
      </c>
      <c r="F41" s="23"/>
      <c r="G41" s="22" t="s">
        <v>559</v>
      </c>
      <c r="H41" s="23"/>
      <c r="I41" s="6" t="n">
        <f aca="false">COUNTIF('Post Plan'!$I$2:$I$348,A41)</f>
        <v>4</v>
      </c>
    </row>
    <row r="42" customFormat="false" ht="39" hidden="false" customHeight="true" outlineLevel="0" collapsed="false">
      <c r="A42" s="3" t="s">
        <v>341</v>
      </c>
      <c r="B42" s="6" t="s">
        <v>197</v>
      </c>
      <c r="C42" s="23"/>
      <c r="D42" s="23"/>
      <c r="E42" s="22" t="s">
        <v>560</v>
      </c>
      <c r="F42" s="23"/>
      <c r="G42" s="23"/>
      <c r="H42" s="23"/>
      <c r="I42" s="6" t="n">
        <f aca="false">COUNTIF('Post Plan'!$I$2:$I$348,A42)</f>
        <v>3</v>
      </c>
    </row>
    <row r="43" customFormat="false" ht="15" hidden="false" customHeight="true" outlineLevel="0" collapsed="false">
      <c r="A43" s="3" t="s">
        <v>198</v>
      </c>
      <c r="B43" s="6" t="s">
        <v>197</v>
      </c>
      <c r="C43" s="22" t="s">
        <v>561</v>
      </c>
      <c r="D43" s="23"/>
      <c r="E43" s="22" t="s">
        <v>562</v>
      </c>
      <c r="F43" s="22" t="s">
        <v>563</v>
      </c>
      <c r="G43" s="23"/>
      <c r="H43" s="23"/>
      <c r="I43" s="6" t="n">
        <f aca="false">COUNTIF('Post Plan'!$I$2:$I$348,A43)</f>
        <v>3</v>
      </c>
    </row>
    <row r="44" customFormat="false" ht="15" hidden="false" customHeight="true" outlineLevel="0" collapsed="false">
      <c r="A44" s="3" t="s">
        <v>348</v>
      </c>
      <c r="B44" s="6" t="s">
        <v>220</v>
      </c>
      <c r="C44" s="22" t="s">
        <v>564</v>
      </c>
      <c r="D44" s="22" t="s">
        <v>565</v>
      </c>
      <c r="E44" s="22" t="s">
        <v>566</v>
      </c>
      <c r="F44" s="23"/>
      <c r="G44" s="23"/>
      <c r="H44" s="23"/>
      <c r="I44" s="6" t="n">
        <f aca="false">COUNTIF('Post Plan'!$I$2:$I$348,A44)</f>
        <v>3</v>
      </c>
    </row>
    <row r="45" customFormat="false" ht="15" hidden="false" customHeight="true" outlineLevel="0" collapsed="false">
      <c r="A45" s="3" t="s">
        <v>351</v>
      </c>
      <c r="B45" s="6" t="s">
        <v>220</v>
      </c>
      <c r="C45" s="22" t="s">
        <v>567</v>
      </c>
      <c r="D45" s="22" t="s">
        <v>568</v>
      </c>
      <c r="E45" s="22" t="s">
        <v>569</v>
      </c>
      <c r="F45" s="23"/>
      <c r="G45" s="23"/>
      <c r="H45" s="23"/>
      <c r="I45" s="6" t="n">
        <f aca="false">COUNTIF('Post Plan'!$I$2:$I$348,A45)</f>
        <v>3</v>
      </c>
    </row>
    <row r="46" customFormat="false" ht="15" hidden="false" customHeight="true" outlineLevel="0" collapsed="false">
      <c r="A46" s="3" t="s">
        <v>302</v>
      </c>
      <c r="B46" s="6" t="s">
        <v>197</v>
      </c>
      <c r="C46" s="23"/>
      <c r="D46" s="23"/>
      <c r="E46" s="22" t="s">
        <v>570</v>
      </c>
      <c r="F46" s="23"/>
      <c r="G46" s="22" t="s">
        <v>571</v>
      </c>
      <c r="H46" s="23"/>
      <c r="I46" s="6" t="n">
        <f aca="false">COUNTIF('Post Plan'!$I$2:$I$348,A46)</f>
        <v>2</v>
      </c>
    </row>
    <row r="47" customFormat="false" ht="39" hidden="false" customHeight="true" outlineLevel="0" collapsed="false">
      <c r="A47" s="3" t="s">
        <v>357</v>
      </c>
      <c r="B47" s="6" t="s">
        <v>220</v>
      </c>
      <c r="C47" s="22" t="s">
        <v>572</v>
      </c>
      <c r="D47" s="22" t="s">
        <v>573</v>
      </c>
      <c r="E47" s="22" t="s">
        <v>574</v>
      </c>
      <c r="F47" s="23"/>
      <c r="G47" s="23"/>
      <c r="H47" s="23"/>
      <c r="I47" s="6" t="n">
        <f aca="false">COUNTIF('Post Plan'!$I$2:$I$348,A47)</f>
        <v>5</v>
      </c>
    </row>
    <row r="48" customFormat="false" ht="15" hidden="false" customHeight="true" outlineLevel="0" collapsed="false">
      <c r="A48" s="3" t="s">
        <v>361</v>
      </c>
      <c r="B48" s="6" t="s">
        <v>220</v>
      </c>
      <c r="C48" s="22" t="s">
        <v>575</v>
      </c>
      <c r="D48" s="22" t="s">
        <v>576</v>
      </c>
      <c r="E48" s="22" t="s">
        <v>577</v>
      </c>
      <c r="F48" s="23"/>
      <c r="G48" s="23"/>
      <c r="H48" s="23"/>
      <c r="I48" s="6" t="n">
        <f aca="false">COUNTIF('Post Plan'!$I$2:$I$348,A48)</f>
        <v>3</v>
      </c>
    </row>
    <row r="49" customFormat="false" ht="15" hidden="false" customHeight="true" outlineLevel="0" collapsed="false">
      <c r="A49" s="3" t="s">
        <v>364</v>
      </c>
      <c r="B49" s="6" t="s">
        <v>220</v>
      </c>
      <c r="C49" s="22" t="s">
        <v>578</v>
      </c>
      <c r="D49" s="22" t="s">
        <v>579</v>
      </c>
      <c r="E49" s="23"/>
      <c r="F49" s="23"/>
      <c r="G49" s="22" t="s">
        <v>580</v>
      </c>
      <c r="H49" s="23"/>
      <c r="I49" s="6" t="n">
        <f aca="false">COUNTIF('Post Plan'!$I$2:$I$348,A49)</f>
        <v>3</v>
      </c>
    </row>
    <row r="50" customFormat="false" ht="15" hidden="false" customHeight="true" outlineLevel="0" collapsed="false">
      <c r="A50" s="3" t="s">
        <v>367</v>
      </c>
      <c r="B50" s="6" t="s">
        <v>197</v>
      </c>
      <c r="C50" s="22" t="s">
        <v>581</v>
      </c>
      <c r="D50" s="23"/>
      <c r="E50" s="22" t="s">
        <v>582</v>
      </c>
      <c r="F50" s="22" t="s">
        <v>583</v>
      </c>
      <c r="G50" s="23"/>
      <c r="H50" s="23"/>
      <c r="I50" s="6" t="n">
        <f aca="false">COUNTIF('Post Plan'!$I$2:$I$348,A50)</f>
        <v>3</v>
      </c>
    </row>
    <row r="51" customFormat="false" ht="25.5" hidden="false" customHeight="true" outlineLevel="0" collapsed="false">
      <c r="A51" s="3" t="s">
        <v>370</v>
      </c>
      <c r="B51" s="6" t="s">
        <v>220</v>
      </c>
      <c r="C51" s="22" t="s">
        <v>584</v>
      </c>
      <c r="D51" s="22" t="s">
        <v>585</v>
      </c>
      <c r="E51" s="22" t="s">
        <v>586</v>
      </c>
      <c r="F51" s="23"/>
      <c r="G51" s="23"/>
      <c r="H51" s="23"/>
      <c r="I51" s="6" t="n">
        <f aca="false">COUNTIF('Post Plan'!$I$2:$I$348,A51)</f>
        <v>4</v>
      </c>
    </row>
    <row r="52" customFormat="false" ht="25.5" hidden="false" customHeight="true" outlineLevel="0" collapsed="false">
      <c r="A52" s="3" t="s">
        <v>373</v>
      </c>
      <c r="B52" s="6" t="s">
        <v>220</v>
      </c>
      <c r="C52" s="22" t="s">
        <v>587</v>
      </c>
      <c r="D52" s="22" t="s">
        <v>588</v>
      </c>
      <c r="E52" s="23"/>
      <c r="F52" s="23"/>
      <c r="G52" s="23"/>
      <c r="H52" s="23"/>
      <c r="I52" s="6" t="n">
        <f aca="false">COUNTIF('Post Plan'!$I$2:$I$348,A52)</f>
        <v>3</v>
      </c>
    </row>
    <row r="53" customFormat="false" ht="25.5" hidden="false" customHeight="true" outlineLevel="0" collapsed="false">
      <c r="A53" s="3" t="s">
        <v>283</v>
      </c>
      <c r="B53" s="6" t="s">
        <v>197</v>
      </c>
      <c r="C53" s="22" t="s">
        <v>589</v>
      </c>
      <c r="D53" s="23"/>
      <c r="E53" s="23"/>
      <c r="F53" s="22" t="s">
        <v>590</v>
      </c>
      <c r="G53" s="22" t="s">
        <v>591</v>
      </c>
      <c r="H53" s="23"/>
      <c r="I53" s="6" t="n">
        <f aca="false">COUNTIF('Post Plan'!$I$2:$I$348,A53)</f>
        <v>4</v>
      </c>
    </row>
    <row r="54" customFormat="false" ht="39" hidden="false" customHeight="true" outlineLevel="0" collapsed="false">
      <c r="A54" s="3" t="s">
        <v>379</v>
      </c>
      <c r="B54" s="6" t="s">
        <v>220</v>
      </c>
      <c r="C54" s="22" t="s">
        <v>592</v>
      </c>
      <c r="D54" s="23"/>
      <c r="E54" s="22" t="s">
        <v>593</v>
      </c>
      <c r="F54" s="23"/>
      <c r="G54" s="23"/>
      <c r="H54" s="23"/>
      <c r="I54" s="6" t="n">
        <f aca="false">COUNTIF('Post Plan'!$I$2:$I$348,A54)</f>
        <v>4</v>
      </c>
    </row>
    <row r="55" customFormat="false" ht="25.5" hidden="false" customHeight="true" outlineLevel="0" collapsed="false">
      <c r="A55" s="3" t="s">
        <v>382</v>
      </c>
      <c r="B55" s="6" t="s">
        <v>220</v>
      </c>
      <c r="C55" s="22" t="s">
        <v>594</v>
      </c>
      <c r="D55" s="22" t="s">
        <v>595</v>
      </c>
      <c r="E55" s="23"/>
      <c r="F55" s="23"/>
      <c r="G55" s="23"/>
      <c r="H55" s="23"/>
      <c r="I55" s="6" t="n">
        <f aca="false">COUNTIF('Post Plan'!$I$2:$I$348,A55)</f>
        <v>3</v>
      </c>
    </row>
    <row r="56" customFormat="false" ht="25.5" hidden="false" customHeight="true" outlineLevel="0" collapsed="false">
      <c r="A56" s="3" t="s">
        <v>385</v>
      </c>
      <c r="B56" s="6" t="s">
        <v>197</v>
      </c>
      <c r="C56" s="22" t="s">
        <v>596</v>
      </c>
      <c r="D56" s="22" t="s">
        <v>597</v>
      </c>
      <c r="E56" s="22" t="s">
        <v>598</v>
      </c>
      <c r="F56" s="23"/>
      <c r="G56" s="22" t="s">
        <v>599</v>
      </c>
      <c r="H56" s="23"/>
      <c r="I56" s="6" t="n">
        <f aca="false">COUNTIF('Post Plan'!$I$2:$I$348,A56)</f>
        <v>5</v>
      </c>
    </row>
    <row r="57" customFormat="false" ht="25.5" hidden="false" customHeight="true" outlineLevel="0" collapsed="false">
      <c r="A57" s="3" t="s">
        <v>389</v>
      </c>
      <c r="B57" s="6" t="s">
        <v>197</v>
      </c>
      <c r="C57" s="22" t="s">
        <v>600</v>
      </c>
      <c r="D57" s="22" t="s">
        <v>601</v>
      </c>
      <c r="E57" s="22" t="s">
        <v>602</v>
      </c>
      <c r="F57" s="23"/>
      <c r="G57" s="23"/>
      <c r="H57" s="23"/>
      <c r="I57" s="6" t="n">
        <f aca="false">COUNTIF('Post Plan'!$I$2:$I$348,A57)</f>
        <v>4</v>
      </c>
    </row>
    <row r="58" customFormat="false" ht="25.5" hidden="false" customHeight="true" outlineLevel="0" collapsed="false">
      <c r="A58" s="3" t="s">
        <v>392</v>
      </c>
      <c r="B58" s="6" t="s">
        <v>220</v>
      </c>
      <c r="C58" s="22" t="s">
        <v>603</v>
      </c>
      <c r="D58" s="22" t="s">
        <v>604</v>
      </c>
      <c r="E58" s="22" t="s">
        <v>605</v>
      </c>
      <c r="F58" s="22" t="s">
        <v>606</v>
      </c>
      <c r="G58" s="23"/>
      <c r="H58" s="23"/>
      <c r="I58" s="6" t="n">
        <f aca="false">COUNTIF('Post Plan'!$I$2:$I$348,A58)</f>
        <v>5</v>
      </c>
    </row>
    <row r="59" customFormat="false" ht="15" hidden="false" customHeight="true" outlineLevel="0" collapsed="false">
      <c r="A59" s="3" t="s">
        <v>334</v>
      </c>
      <c r="B59" s="6" t="s">
        <v>197</v>
      </c>
      <c r="C59" s="22" t="s">
        <v>607</v>
      </c>
      <c r="D59" s="23"/>
      <c r="E59" s="23"/>
      <c r="F59" s="23"/>
      <c r="G59" s="23"/>
      <c r="H59" s="23"/>
      <c r="I59" s="6" t="n">
        <f aca="false">COUNTIF('Post Plan'!$I$2:$I$348,A59)</f>
        <v>1</v>
      </c>
    </row>
    <row r="60" customFormat="false" ht="25.5" hidden="false" customHeight="true" outlineLevel="0" collapsed="false">
      <c r="A60" s="3" t="s">
        <v>399</v>
      </c>
      <c r="B60" s="6" t="s">
        <v>209</v>
      </c>
      <c r="C60" s="22" t="s">
        <v>608</v>
      </c>
      <c r="D60" s="23"/>
      <c r="E60" s="22" t="s">
        <v>609</v>
      </c>
      <c r="F60" s="23"/>
      <c r="G60" s="23"/>
      <c r="H60" s="23"/>
      <c r="I60" s="6" t="n">
        <f aca="false">COUNTIF('Post Plan'!$I$2:$I$348,A60)</f>
        <v>3</v>
      </c>
    </row>
    <row r="61" customFormat="false" ht="15" hidden="false" customHeight="true" outlineLevel="0" collapsed="false">
      <c r="A61" s="3" t="s">
        <v>402</v>
      </c>
      <c r="B61" s="6" t="s">
        <v>197</v>
      </c>
      <c r="C61" s="22" t="s">
        <v>610</v>
      </c>
      <c r="D61" s="23"/>
      <c r="E61" s="22" t="s">
        <v>611</v>
      </c>
      <c r="F61" s="23"/>
      <c r="G61" s="23"/>
      <c r="H61" s="23"/>
      <c r="I61" s="6" t="n">
        <f aca="false">COUNTIF('Post Plan'!$I$2:$I$348,A61)</f>
        <v>2</v>
      </c>
    </row>
    <row r="62" customFormat="false" ht="15" hidden="false" customHeight="true" outlineLevel="0" collapsed="false">
      <c r="A62" s="3" t="s">
        <v>406</v>
      </c>
      <c r="B62" s="6" t="s">
        <v>209</v>
      </c>
      <c r="C62" s="23"/>
      <c r="D62" s="22" t="s">
        <v>612</v>
      </c>
      <c r="E62" s="23"/>
      <c r="F62" s="23"/>
      <c r="G62" s="23"/>
      <c r="H62" s="23"/>
      <c r="I62" s="6" t="n">
        <f aca="false">COUNTIF('Post Plan'!$I$2:$I$348,A62)</f>
        <v>1</v>
      </c>
    </row>
    <row r="63" customFormat="false" ht="15" hidden="false" customHeight="true" outlineLevel="0" collapsed="false">
      <c r="A63" s="3" t="s">
        <v>409</v>
      </c>
      <c r="B63" s="6" t="s">
        <v>220</v>
      </c>
      <c r="C63" s="22" t="s">
        <v>613</v>
      </c>
      <c r="D63" s="22" t="s">
        <v>614</v>
      </c>
      <c r="E63" s="22" t="s">
        <v>615</v>
      </c>
      <c r="F63" s="23"/>
      <c r="G63" s="23"/>
      <c r="H63" s="23"/>
      <c r="I63" s="6" t="n">
        <f aca="false">COUNTIF('Post Plan'!$I$2:$I$348,A63)</f>
        <v>3</v>
      </c>
    </row>
    <row r="64" customFormat="false" ht="25.5" hidden="false" customHeight="true" outlineLevel="0" collapsed="false">
      <c r="A64" s="3" t="s">
        <v>412</v>
      </c>
      <c r="B64" s="6" t="s">
        <v>220</v>
      </c>
      <c r="C64" s="22" t="s">
        <v>616</v>
      </c>
      <c r="D64" s="23"/>
      <c r="E64" s="23"/>
      <c r="F64" s="23"/>
      <c r="G64" s="22" t="s">
        <v>617</v>
      </c>
      <c r="H64" s="23"/>
      <c r="I64" s="6" t="n">
        <f aca="false">COUNTIF('Post Plan'!$I$2:$I$348,A64)</f>
        <v>3</v>
      </c>
    </row>
    <row r="65" customFormat="false" ht="15" hidden="false" customHeight="true" outlineLevel="0" collapsed="false">
      <c r="A65" s="3" t="s">
        <v>224</v>
      </c>
      <c r="B65" s="6" t="s">
        <v>197</v>
      </c>
      <c r="C65" s="22" t="s">
        <v>618</v>
      </c>
      <c r="D65" s="23"/>
      <c r="E65" s="23"/>
      <c r="F65" s="23"/>
      <c r="G65" s="22" t="s">
        <v>619</v>
      </c>
      <c r="H65" s="23"/>
      <c r="I65" s="6" t="n">
        <f aca="false">COUNTIF('Post Plan'!$I$2:$I$348,A65)</f>
        <v>2</v>
      </c>
    </row>
    <row r="66" customFormat="false" ht="15" hidden="false" customHeight="true" outlineLevel="0" collapsed="false">
      <c r="A66" s="3" t="s">
        <v>257</v>
      </c>
      <c r="B66" s="6" t="s">
        <v>197</v>
      </c>
      <c r="C66" s="22" t="s">
        <v>620</v>
      </c>
      <c r="D66" s="23"/>
      <c r="E66" s="22" t="s">
        <v>621</v>
      </c>
      <c r="F66" s="23"/>
      <c r="G66" s="23"/>
      <c r="H66" s="23"/>
      <c r="I66" s="6" t="n">
        <f aca="false">COUNTIF('Post Plan'!$I$2:$I$348,A66)</f>
        <v>2</v>
      </c>
    </row>
    <row r="67" customFormat="false" ht="25.5" hidden="false" customHeight="true" outlineLevel="0" collapsed="false">
      <c r="A67" s="3" t="s">
        <v>386</v>
      </c>
      <c r="B67" s="6" t="s">
        <v>209</v>
      </c>
      <c r="C67" s="23"/>
      <c r="D67" s="23"/>
      <c r="E67" s="23"/>
      <c r="F67" s="23"/>
      <c r="G67" s="22" t="s">
        <v>622</v>
      </c>
      <c r="H67" s="23"/>
      <c r="I67" s="6" t="n">
        <f aca="false">COUNTIF('Post Plan'!$I$2:$I$348,A67)</f>
        <v>2</v>
      </c>
    </row>
    <row r="68" customFormat="false" ht="15" hidden="false" customHeight="true" outlineLevel="0" collapsed="false">
      <c r="A68" s="3" t="s">
        <v>247</v>
      </c>
      <c r="B68" s="6" t="s">
        <v>197</v>
      </c>
      <c r="C68" s="23"/>
      <c r="D68" s="23"/>
      <c r="E68" s="23"/>
      <c r="F68" s="23"/>
      <c r="G68" s="23"/>
      <c r="H68" s="23"/>
      <c r="I68" s="6" t="n">
        <f aca="false">COUNTIF('Post Plan'!$I$2:$I$348,A68)</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40"/>
    <col collapsed="false" customWidth="true" hidden="false" outlineLevel="0" max="4" min="4" style="0" width="32"/>
    <col collapsed="false" customWidth="true" hidden="false" outlineLevel="0" max="5" min="5" style="0" width="12"/>
    <col collapsed="false" customWidth="true" hidden="false" outlineLevel="0" max="6" min="6" style="0" width="18"/>
    <col collapsed="false" customWidth="true" hidden="false" outlineLevel="0" max="7" min="7" style="0" width="15"/>
    <col collapsed="false" customWidth="true" hidden="false" outlineLevel="0" max="8" min="8" style="0" width="12"/>
    <col collapsed="false" customWidth="true" hidden="false" outlineLevel="0" max="9" min="9" style="0" width="15"/>
    <col collapsed="false" customWidth="true" hidden="false" outlineLevel="0" max="10" min="10" style="0" width="20"/>
    <col collapsed="false" customWidth="true" hidden="false" outlineLevel="0" max="13" min="11" style="0" width="10"/>
    <col collapsed="false" customWidth="true" hidden="false" outlineLevel="0" max="14" min="14" style="0" width="9"/>
    <col collapsed="false" customWidth="true" hidden="false" outlineLevel="0" max="15" min="15" style="0" width="11"/>
    <col collapsed="false" customWidth="true" hidden="false" outlineLevel="0" max="16" min="16" style="0" width="10"/>
    <col collapsed="false" customWidth="true" hidden="false" outlineLevel="0" max="18" min="17" style="0" width="44"/>
    <col collapsed="false" customWidth="true" hidden="false" outlineLevel="0" max="19" min="19" style="0" width="58"/>
    <col collapsed="false" customWidth="true" hidden="false" outlineLevel="0" max="20" min="20" style="0" width="36"/>
    <col collapsed="false" customWidth="true" hidden="false" outlineLevel="0" max="21" min="21" style="0" width="40"/>
    <col collapsed="false" customWidth="true" hidden="false" outlineLevel="0" max="22" min="22" style="0" width="13"/>
    <col collapsed="false" customWidth="true" hidden="false" outlineLevel="0" max="24" min="23" style="0" width="14"/>
    <col collapsed="false" customWidth="true" hidden="false" outlineLevel="0" max="25" min="25" style="0" width="34"/>
    <col collapsed="false" customWidth="true" hidden="false" outlineLevel="0" max="26" min="26" style="0" width="30"/>
  </cols>
  <sheetData>
    <row r="1" customFormat="false" ht="33.75" hidden="false" customHeight="true" outlineLevel="0" collapsed="false">
      <c r="A1" s="9" t="s">
        <v>623</v>
      </c>
      <c r="B1" s="9" t="s">
        <v>624</v>
      </c>
      <c r="C1" s="9" t="s">
        <v>30</v>
      </c>
      <c r="D1" s="9" t="s">
        <v>32</v>
      </c>
      <c r="E1" s="9" t="s">
        <v>625</v>
      </c>
      <c r="F1" s="9" t="s">
        <v>626</v>
      </c>
      <c r="G1" s="9" t="s">
        <v>627</v>
      </c>
      <c r="H1" s="9" t="s">
        <v>628</v>
      </c>
      <c r="I1" s="9" t="s">
        <v>172</v>
      </c>
      <c r="J1" s="9" t="s">
        <v>36</v>
      </c>
      <c r="K1" s="9" t="s">
        <v>629</v>
      </c>
      <c r="L1" s="9" t="s">
        <v>630</v>
      </c>
      <c r="M1" s="9" t="s">
        <v>631</v>
      </c>
      <c r="N1" s="9" t="s">
        <v>632</v>
      </c>
      <c r="O1" s="9" t="s">
        <v>633</v>
      </c>
      <c r="P1" s="9" t="s">
        <v>634</v>
      </c>
      <c r="Q1" s="9" t="s">
        <v>635</v>
      </c>
      <c r="R1" s="9" t="s">
        <v>636</v>
      </c>
      <c r="S1" s="9" t="s">
        <v>637</v>
      </c>
      <c r="T1" s="9" t="s">
        <v>638</v>
      </c>
      <c r="U1" s="9" t="s">
        <v>639</v>
      </c>
      <c r="V1" s="10" t="s">
        <v>640</v>
      </c>
      <c r="W1" s="10" t="s">
        <v>46</v>
      </c>
      <c r="X1" s="10" t="s">
        <v>641</v>
      </c>
      <c r="Y1" s="10" t="s">
        <v>51</v>
      </c>
      <c r="Z1" s="10" t="s">
        <v>195</v>
      </c>
    </row>
    <row r="2" customFormat="false" ht="68.65" hidden="false" customHeight="false" outlineLevel="0" collapsed="false">
      <c r="A2" s="11" t="n">
        <v>1</v>
      </c>
      <c r="B2" s="11" t="s">
        <v>2</v>
      </c>
      <c r="C2" s="11" t="s">
        <v>52</v>
      </c>
      <c r="D2" s="11" t="s">
        <v>54</v>
      </c>
      <c r="E2" s="20" t="s">
        <v>627</v>
      </c>
      <c r="F2" s="11" t="s">
        <v>642</v>
      </c>
      <c r="G2" s="11" t="s">
        <v>55</v>
      </c>
      <c r="H2" s="11" t="s">
        <v>241</v>
      </c>
      <c r="I2" s="11" t="s">
        <v>55</v>
      </c>
      <c r="J2" s="11" t="s">
        <v>56</v>
      </c>
      <c r="K2" s="13" t="n">
        <v>1330</v>
      </c>
      <c r="L2" s="13" t="n">
        <v>880</v>
      </c>
      <c r="M2" s="13" t="n">
        <f aca="false">K2+L2</f>
        <v>2210</v>
      </c>
      <c r="N2" s="19" t="n">
        <v>6.3</v>
      </c>
      <c r="O2" s="19" t="n">
        <f aca="false">IF(N2&lt;=35,1,0.25)*M2/(N2+10)*IF(ISNUMBER(SEARCH("KD mismatch",U2)),0.25,1)</f>
        <v>135.58282208589</v>
      </c>
      <c r="P2" s="20" t="str">
        <f aca="false">IF(N2&lt;=10,"Quick win",IF(N2&lt;=20,"Strong",IF(N2&lt;=35,"Moderate","Stretch")))</f>
        <v>Quick win</v>
      </c>
      <c r="Q2" s="12" t="s">
        <v>643</v>
      </c>
      <c r="R2" s="12"/>
      <c r="S2" s="12" t="s">
        <v>644</v>
      </c>
      <c r="T2" s="12" t="s">
        <v>645</v>
      </c>
      <c r="U2" s="12"/>
      <c r="V2" s="14" t="s">
        <v>646</v>
      </c>
      <c r="W2" s="14"/>
      <c r="X2" s="15"/>
      <c r="Y2" s="14"/>
      <c r="Z2" s="24" t="s">
        <v>647</v>
      </c>
    </row>
    <row r="3" customFormat="false" ht="68.65" hidden="false" customHeight="false" outlineLevel="0" collapsed="false">
      <c r="A3" s="11" t="n">
        <v>2</v>
      </c>
      <c r="B3" s="11" t="s">
        <v>2</v>
      </c>
      <c r="C3" s="11" t="s">
        <v>67</v>
      </c>
      <c r="D3" s="11" t="s">
        <v>69</v>
      </c>
      <c r="E3" s="20" t="s">
        <v>648</v>
      </c>
      <c r="F3" s="11" t="s">
        <v>649</v>
      </c>
      <c r="G3" s="11" t="s">
        <v>70</v>
      </c>
      <c r="H3" s="11" t="s">
        <v>650</v>
      </c>
      <c r="I3" s="11" t="s">
        <v>70</v>
      </c>
      <c r="J3" s="11" t="s">
        <v>71</v>
      </c>
      <c r="K3" s="13" t="n">
        <v>1040</v>
      </c>
      <c r="L3" s="13" t="n">
        <v>1170</v>
      </c>
      <c r="M3" s="13" t="n">
        <f aca="false">K3+L3</f>
        <v>2210</v>
      </c>
      <c r="N3" s="19" t="n">
        <v>7.8</v>
      </c>
      <c r="O3" s="19" t="n">
        <f aca="false">IF(N3&lt;=35,1,0.25)*M3/(N3+10)*IF(ISNUMBER(SEARCH("KD mismatch",U3)),0.25,1)</f>
        <v>124.157303370787</v>
      </c>
      <c r="P3" s="20" t="str">
        <f aca="false">IF(N3&lt;=10,"Quick win",IF(N3&lt;=20,"Strong",IF(N3&lt;=35,"Moderate","Stretch")))</f>
        <v>Quick win</v>
      </c>
      <c r="Q3" s="12" t="s">
        <v>651</v>
      </c>
      <c r="R3" s="12" t="s">
        <v>652</v>
      </c>
      <c r="S3" s="12" t="s">
        <v>653</v>
      </c>
      <c r="T3" s="12"/>
      <c r="U3" s="12"/>
      <c r="V3" s="14" t="s">
        <v>646</v>
      </c>
      <c r="W3" s="14"/>
      <c r="X3" s="15"/>
      <c r="Y3" s="14"/>
      <c r="Z3" s="24" t="s">
        <v>654</v>
      </c>
    </row>
    <row r="4" customFormat="false" ht="68.65" hidden="false" customHeight="false" outlineLevel="0" collapsed="false">
      <c r="A4" s="11" t="n">
        <v>3</v>
      </c>
      <c r="B4" s="11" t="s">
        <v>2</v>
      </c>
      <c r="C4" s="11" t="s">
        <v>77</v>
      </c>
      <c r="D4" s="11" t="s">
        <v>79</v>
      </c>
      <c r="E4" s="20" t="s">
        <v>627</v>
      </c>
      <c r="F4" s="11" t="s">
        <v>642</v>
      </c>
      <c r="G4" s="11" t="s">
        <v>80</v>
      </c>
      <c r="H4" s="11" t="s">
        <v>247</v>
      </c>
      <c r="I4" s="11" t="s">
        <v>80</v>
      </c>
      <c r="J4" s="11" t="s">
        <v>56</v>
      </c>
      <c r="K4" s="13" t="n">
        <v>1600</v>
      </c>
      <c r="L4" s="13" t="n">
        <v>30</v>
      </c>
      <c r="M4" s="13" t="n">
        <f aca="false">K4+L4</f>
        <v>1630</v>
      </c>
      <c r="N4" s="19" t="n">
        <v>5.9</v>
      </c>
      <c r="O4" s="19" t="n">
        <f aca="false">IF(N4&lt;=35,1,0.25)*M4/(N4+10)*IF(ISNUMBER(SEARCH("KD mismatch",U4)),0.25,1)</f>
        <v>102.51572327044</v>
      </c>
      <c r="P4" s="20" t="str">
        <f aca="false">IF(N4&lt;=10,"Quick win",IF(N4&lt;=20,"Strong",IF(N4&lt;=35,"Moderate","Stretch")))</f>
        <v>Quick win</v>
      </c>
      <c r="Q4" s="12" t="s">
        <v>655</v>
      </c>
      <c r="R4" s="12"/>
      <c r="S4" s="12" t="s">
        <v>656</v>
      </c>
      <c r="T4" s="12" t="s">
        <v>657</v>
      </c>
      <c r="U4" s="12"/>
      <c r="V4" s="14" t="s">
        <v>646</v>
      </c>
      <c r="W4" s="14"/>
      <c r="X4" s="15"/>
      <c r="Y4" s="14"/>
      <c r="Z4" s="24" t="s">
        <v>658</v>
      </c>
    </row>
    <row r="5" customFormat="false" ht="57.45" hidden="false" customHeight="false" outlineLevel="0" collapsed="false">
      <c r="A5" s="11" t="n">
        <v>4</v>
      </c>
      <c r="B5" s="11" t="s">
        <v>2</v>
      </c>
      <c r="C5" s="11" t="s">
        <v>86</v>
      </c>
      <c r="D5" s="11" t="s">
        <v>88</v>
      </c>
      <c r="E5" s="20" t="s">
        <v>627</v>
      </c>
      <c r="F5" s="11" t="s">
        <v>642</v>
      </c>
      <c r="G5" s="11" t="s">
        <v>89</v>
      </c>
      <c r="H5" s="11" t="s">
        <v>224</v>
      </c>
      <c r="I5" s="11" t="s">
        <v>89</v>
      </c>
      <c r="J5" s="11" t="s">
        <v>56</v>
      </c>
      <c r="K5" s="13" t="n">
        <v>1400</v>
      </c>
      <c r="L5" s="13" t="n">
        <v>0</v>
      </c>
      <c r="M5" s="13" t="n">
        <f aca="false">K5+L5</f>
        <v>1400</v>
      </c>
      <c r="N5" s="19" t="n">
        <v>6</v>
      </c>
      <c r="O5" s="19" t="n">
        <f aca="false">IF(N5&lt;=35,1,0.25)*M5/(N5+10)*IF(ISNUMBER(SEARCH("KD mismatch",U5)),0.25,1)</f>
        <v>87.5</v>
      </c>
      <c r="P5" s="20" t="str">
        <f aca="false">IF(N5&lt;=10,"Quick win",IF(N5&lt;=20,"Strong",IF(N5&lt;=35,"Moderate","Stretch")))</f>
        <v>Quick win</v>
      </c>
      <c r="Q5" s="12" t="s">
        <v>659</v>
      </c>
      <c r="R5" s="12"/>
      <c r="S5" s="12" t="s">
        <v>660</v>
      </c>
      <c r="T5" s="12"/>
      <c r="U5" s="12"/>
      <c r="V5" s="14" t="s">
        <v>646</v>
      </c>
      <c r="W5" s="14"/>
      <c r="X5" s="15"/>
      <c r="Y5" s="14"/>
      <c r="Z5" s="24" t="s">
        <v>661</v>
      </c>
    </row>
    <row r="6" customFormat="false" ht="23.85" hidden="false" customHeight="false" outlineLevel="0" collapsed="false">
      <c r="A6" s="11" t="n">
        <v>5</v>
      </c>
      <c r="B6" s="11" t="s">
        <v>2</v>
      </c>
      <c r="C6" s="11" t="s">
        <v>662</v>
      </c>
      <c r="D6" s="11" t="s">
        <v>663</v>
      </c>
      <c r="E6" s="20" t="s">
        <v>648</v>
      </c>
      <c r="F6" s="11" t="s">
        <v>649</v>
      </c>
      <c r="G6" s="11" t="s">
        <v>287</v>
      </c>
      <c r="H6" s="11" t="s">
        <v>664</v>
      </c>
      <c r="I6" s="11" t="s">
        <v>287</v>
      </c>
      <c r="J6" s="11" t="s">
        <v>71</v>
      </c>
      <c r="K6" s="13" t="n">
        <v>520</v>
      </c>
      <c r="L6" s="13" t="n">
        <v>820</v>
      </c>
      <c r="M6" s="13" t="n">
        <f aca="false">K6+L6</f>
        <v>1340</v>
      </c>
      <c r="N6" s="19" t="n">
        <v>6.3</v>
      </c>
      <c r="O6" s="19" t="n">
        <f aca="false">IF(N6&lt;=35,1,0.25)*M6/(N6+10)*IF(ISNUMBER(SEARCH("KD mismatch",U6)),0.25,1)</f>
        <v>82.2085889570552</v>
      </c>
      <c r="P6" s="20" t="str">
        <f aca="false">IF(N6&lt;=10,"Quick win",IF(N6&lt;=20,"Strong",IF(N6&lt;=35,"Moderate","Stretch")))</f>
        <v>Quick win</v>
      </c>
      <c r="Q6" s="12" t="s">
        <v>665</v>
      </c>
      <c r="R6" s="12"/>
      <c r="S6" s="12" t="s">
        <v>666</v>
      </c>
      <c r="T6" s="12"/>
      <c r="U6" s="12" t="s">
        <v>667</v>
      </c>
      <c r="V6" s="14" t="s">
        <v>203</v>
      </c>
      <c r="W6" s="14"/>
      <c r="X6" s="15"/>
      <c r="Y6" s="14"/>
      <c r="Z6" s="24"/>
    </row>
    <row r="7" customFormat="false" ht="57.45" hidden="false" customHeight="false" outlineLevel="0" collapsed="false">
      <c r="A7" s="11" t="n">
        <v>6</v>
      </c>
      <c r="B7" s="11" t="s">
        <v>2</v>
      </c>
      <c r="C7" s="11" t="s">
        <v>95</v>
      </c>
      <c r="D7" s="11" t="s">
        <v>97</v>
      </c>
      <c r="E7" s="20" t="s">
        <v>648</v>
      </c>
      <c r="F7" s="11" t="s">
        <v>649</v>
      </c>
      <c r="G7" s="11" t="s">
        <v>89</v>
      </c>
      <c r="H7" s="11" t="s">
        <v>224</v>
      </c>
      <c r="I7" s="11" t="s">
        <v>89</v>
      </c>
      <c r="J7" s="11" t="s">
        <v>71</v>
      </c>
      <c r="K7" s="13" t="n">
        <v>900</v>
      </c>
      <c r="L7" s="13" t="n">
        <v>340</v>
      </c>
      <c r="M7" s="13" t="n">
        <f aca="false">K7+L7</f>
        <v>1240</v>
      </c>
      <c r="N7" s="19" t="n">
        <v>6.2</v>
      </c>
      <c r="O7" s="19" t="n">
        <f aca="false">IF(N7&lt;=35,1,0.25)*M7/(N7+10)*IF(ISNUMBER(SEARCH("KD mismatch",U7)),0.25,1)</f>
        <v>76.5432098765432</v>
      </c>
      <c r="P7" s="20" t="str">
        <f aca="false">IF(N7&lt;=10,"Quick win",IF(N7&lt;=20,"Strong",IF(N7&lt;=35,"Moderate","Stretch")))</f>
        <v>Quick win</v>
      </c>
      <c r="Q7" s="12" t="s">
        <v>668</v>
      </c>
      <c r="R7" s="12"/>
      <c r="S7" s="12" t="s">
        <v>669</v>
      </c>
      <c r="T7" s="12"/>
      <c r="U7" s="12"/>
      <c r="V7" s="14" t="s">
        <v>646</v>
      </c>
      <c r="W7" s="14"/>
      <c r="X7" s="15"/>
      <c r="Y7" s="14"/>
      <c r="Z7" s="24" t="s">
        <v>670</v>
      </c>
    </row>
    <row r="8" customFormat="false" ht="57.45" hidden="false" customHeight="false" outlineLevel="0" collapsed="false">
      <c r="A8" s="11" t="n">
        <v>7</v>
      </c>
      <c r="B8" s="11" t="s">
        <v>2</v>
      </c>
      <c r="C8" s="11" t="s">
        <v>103</v>
      </c>
      <c r="D8" s="11" t="s">
        <v>105</v>
      </c>
      <c r="E8" s="20" t="s">
        <v>627</v>
      </c>
      <c r="F8" s="11" t="s">
        <v>642</v>
      </c>
      <c r="G8" s="11" t="s">
        <v>106</v>
      </c>
      <c r="H8" s="11" t="s">
        <v>196</v>
      </c>
      <c r="I8" s="11" t="s">
        <v>106</v>
      </c>
      <c r="J8" s="11" t="s">
        <v>56</v>
      </c>
      <c r="K8" s="13" t="n">
        <v>760</v>
      </c>
      <c r="L8" s="13" t="n">
        <v>570</v>
      </c>
      <c r="M8" s="13" t="n">
        <f aca="false">K8+L8</f>
        <v>1330</v>
      </c>
      <c r="N8" s="19" t="n">
        <v>7.4</v>
      </c>
      <c r="O8" s="19" t="n">
        <f aca="false">IF(N8&lt;=35,1,0.25)*M8/(N8+10)*IF(ISNUMBER(SEARCH("KD mismatch",U8)),0.25,1)</f>
        <v>76.4367816091954</v>
      </c>
      <c r="P8" s="20" t="str">
        <f aca="false">IF(N8&lt;=10,"Quick win",IF(N8&lt;=20,"Strong",IF(N8&lt;=35,"Moderate","Stretch")))</f>
        <v>Quick win</v>
      </c>
      <c r="Q8" s="12" t="s">
        <v>671</v>
      </c>
      <c r="R8" s="12" t="s">
        <v>672</v>
      </c>
      <c r="S8" s="12" t="s">
        <v>673</v>
      </c>
      <c r="T8" s="12" t="s">
        <v>674</v>
      </c>
      <c r="U8" s="12"/>
      <c r="V8" s="14" t="s">
        <v>646</v>
      </c>
      <c r="W8" s="14"/>
      <c r="X8" s="15"/>
      <c r="Y8" s="14"/>
      <c r="Z8" s="24" t="s">
        <v>675</v>
      </c>
    </row>
    <row r="9" customFormat="false" ht="23.85" hidden="false" customHeight="false" outlineLevel="0" collapsed="false">
      <c r="A9" s="11" t="n">
        <v>8</v>
      </c>
      <c r="B9" s="11" t="s">
        <v>2</v>
      </c>
      <c r="C9" s="11" t="s">
        <v>676</v>
      </c>
      <c r="D9" s="11" t="s">
        <v>677</v>
      </c>
      <c r="E9" s="20" t="s">
        <v>648</v>
      </c>
      <c r="F9" s="11" t="s">
        <v>649</v>
      </c>
      <c r="G9" s="11" t="s">
        <v>263</v>
      </c>
      <c r="H9" s="11" t="s">
        <v>204</v>
      </c>
      <c r="I9" s="11" t="s">
        <v>263</v>
      </c>
      <c r="J9" s="11" t="s">
        <v>71</v>
      </c>
      <c r="K9" s="13" t="n">
        <v>910</v>
      </c>
      <c r="L9" s="13" t="n">
        <v>470</v>
      </c>
      <c r="M9" s="13" t="n">
        <f aca="false">K9+L9</f>
        <v>1380</v>
      </c>
      <c r="N9" s="19" t="n">
        <v>8.3</v>
      </c>
      <c r="O9" s="19" t="n">
        <f aca="false">IF(N9&lt;=35,1,0.25)*M9/(N9+10)*IF(ISNUMBER(SEARCH("KD mismatch",U9)),0.25,1)</f>
        <v>75.4098360655738</v>
      </c>
      <c r="P9" s="20" t="str">
        <f aca="false">IF(N9&lt;=10,"Quick win",IF(N9&lt;=20,"Strong",IF(N9&lt;=35,"Moderate","Stretch")))</f>
        <v>Quick win</v>
      </c>
      <c r="Q9" s="12" t="s">
        <v>678</v>
      </c>
      <c r="R9" s="12"/>
      <c r="S9" s="12" t="s">
        <v>679</v>
      </c>
      <c r="T9" s="12" t="s">
        <v>680</v>
      </c>
      <c r="U9" s="12" t="s">
        <v>667</v>
      </c>
      <c r="V9" s="14" t="s">
        <v>203</v>
      </c>
      <c r="W9" s="14"/>
      <c r="X9" s="15"/>
      <c r="Y9" s="14"/>
      <c r="Z9" s="24"/>
    </row>
    <row r="10" customFormat="false" ht="23.85" hidden="false" customHeight="false" outlineLevel="0" collapsed="false">
      <c r="A10" s="11" t="n">
        <v>9</v>
      </c>
      <c r="B10" s="11" t="s">
        <v>2</v>
      </c>
      <c r="C10" s="11" t="s">
        <v>681</v>
      </c>
      <c r="D10" s="11" t="s">
        <v>682</v>
      </c>
      <c r="E10" s="20" t="s">
        <v>627</v>
      </c>
      <c r="F10" s="11" t="s">
        <v>642</v>
      </c>
      <c r="G10" s="11" t="s">
        <v>133</v>
      </c>
      <c r="H10" s="11" t="s">
        <v>247</v>
      </c>
      <c r="I10" s="11" t="s">
        <v>133</v>
      </c>
      <c r="J10" s="11" t="s">
        <v>56</v>
      </c>
      <c r="K10" s="13" t="n">
        <v>660</v>
      </c>
      <c r="L10" s="13" t="n">
        <v>480</v>
      </c>
      <c r="M10" s="13" t="n">
        <f aca="false">K10+L10</f>
        <v>1140</v>
      </c>
      <c r="N10" s="19" t="n">
        <v>5.6</v>
      </c>
      <c r="O10" s="19" t="n">
        <f aca="false">IF(N10&lt;=35,1,0.25)*M10/(N10+10)*IF(ISNUMBER(SEARCH("KD mismatch",U10)),0.25,1)</f>
        <v>73.0769230769231</v>
      </c>
      <c r="P10" s="20" t="str">
        <f aca="false">IF(N10&lt;=10,"Quick win",IF(N10&lt;=20,"Strong",IF(N10&lt;=35,"Moderate","Stretch")))</f>
        <v>Quick win</v>
      </c>
      <c r="Q10" s="12"/>
      <c r="R10" s="12"/>
      <c r="S10" s="12" t="s">
        <v>683</v>
      </c>
      <c r="T10" s="12"/>
      <c r="U10" s="12" t="s">
        <v>667</v>
      </c>
      <c r="V10" s="14" t="s">
        <v>203</v>
      </c>
      <c r="W10" s="14"/>
      <c r="X10" s="15"/>
      <c r="Y10" s="14"/>
      <c r="Z10" s="24"/>
    </row>
    <row r="11" customFormat="false" ht="23.85" hidden="false" customHeight="false" outlineLevel="0" collapsed="false">
      <c r="A11" s="11" t="n">
        <v>10</v>
      </c>
      <c r="B11" s="11" t="s">
        <v>2</v>
      </c>
      <c r="C11" s="11" t="s">
        <v>684</v>
      </c>
      <c r="D11" s="11" t="s">
        <v>685</v>
      </c>
      <c r="E11" s="20" t="s">
        <v>648</v>
      </c>
      <c r="F11" s="11" t="s">
        <v>686</v>
      </c>
      <c r="G11" s="11" t="s">
        <v>235</v>
      </c>
      <c r="H11" s="11" t="s">
        <v>687</v>
      </c>
      <c r="I11" s="11" t="s">
        <v>235</v>
      </c>
      <c r="J11" s="11" t="s">
        <v>143</v>
      </c>
      <c r="K11" s="13" t="n">
        <v>350</v>
      </c>
      <c r="L11" s="13" t="n">
        <v>800</v>
      </c>
      <c r="M11" s="13" t="n">
        <f aca="false">K11+L11</f>
        <v>1150</v>
      </c>
      <c r="N11" s="19" t="n">
        <v>6.3</v>
      </c>
      <c r="O11" s="19" t="n">
        <f aca="false">IF(N11&lt;=35,1,0.25)*M11/(N11+10)*IF(ISNUMBER(SEARCH("KD mismatch",U11)),0.25,1)</f>
        <v>70.5521472392638</v>
      </c>
      <c r="P11" s="20" t="str">
        <f aca="false">IF(N11&lt;=10,"Quick win",IF(N11&lt;=20,"Strong",IF(N11&lt;=35,"Moderate","Stretch")))</f>
        <v>Quick win</v>
      </c>
      <c r="Q11" s="12" t="s">
        <v>688</v>
      </c>
      <c r="R11" s="12"/>
      <c r="S11" s="12" t="s">
        <v>689</v>
      </c>
      <c r="T11" s="12"/>
      <c r="U11" s="12" t="s">
        <v>667</v>
      </c>
      <c r="V11" s="14" t="s">
        <v>203</v>
      </c>
      <c r="W11" s="14"/>
      <c r="X11" s="15"/>
      <c r="Y11" s="14"/>
      <c r="Z11" s="24"/>
    </row>
    <row r="12" customFormat="false" ht="23.85" hidden="false" customHeight="false" outlineLevel="0" collapsed="false">
      <c r="A12" s="11" t="n">
        <v>11</v>
      </c>
      <c r="B12" s="11" t="s">
        <v>2</v>
      </c>
      <c r="C12" s="11" t="s">
        <v>690</v>
      </c>
      <c r="D12" s="11" t="s">
        <v>691</v>
      </c>
      <c r="E12" s="20" t="s">
        <v>648</v>
      </c>
      <c r="F12" s="11" t="s">
        <v>692</v>
      </c>
      <c r="G12" s="11" t="s">
        <v>70</v>
      </c>
      <c r="H12" s="11" t="s">
        <v>650</v>
      </c>
      <c r="I12" s="11" t="s">
        <v>70</v>
      </c>
      <c r="J12" s="11" t="s">
        <v>71</v>
      </c>
      <c r="K12" s="13" t="n">
        <v>480</v>
      </c>
      <c r="L12" s="13" t="n">
        <v>590</v>
      </c>
      <c r="M12" s="13" t="n">
        <f aca="false">K12+L12</f>
        <v>1070</v>
      </c>
      <c r="N12" s="19" t="n">
        <v>5.4</v>
      </c>
      <c r="O12" s="19" t="n">
        <f aca="false">IF(N12&lt;=35,1,0.25)*M12/(N12+10)*IF(ISNUMBER(SEARCH("KD mismatch",U12)),0.25,1)</f>
        <v>69.4805194805195</v>
      </c>
      <c r="P12" s="20" t="str">
        <f aca="false">IF(N12&lt;=10,"Quick win",IF(N12&lt;=20,"Strong",IF(N12&lt;=35,"Moderate","Stretch")))</f>
        <v>Quick win</v>
      </c>
      <c r="Q12" s="12"/>
      <c r="R12" s="12"/>
      <c r="S12" s="12" t="s">
        <v>693</v>
      </c>
      <c r="T12" s="12"/>
      <c r="U12" s="12" t="s">
        <v>667</v>
      </c>
      <c r="V12" s="14" t="s">
        <v>203</v>
      </c>
      <c r="W12" s="14"/>
      <c r="X12" s="15"/>
      <c r="Y12" s="14"/>
      <c r="Z12" s="24"/>
    </row>
    <row r="13" customFormat="false" ht="23.85" hidden="false" customHeight="false" outlineLevel="0" collapsed="false">
      <c r="A13" s="11" t="n">
        <v>12</v>
      </c>
      <c r="B13" s="11" t="s">
        <v>2</v>
      </c>
      <c r="C13" s="11" t="s">
        <v>694</v>
      </c>
      <c r="D13" s="11" t="s">
        <v>695</v>
      </c>
      <c r="E13" s="20" t="s">
        <v>648</v>
      </c>
      <c r="F13" s="11" t="s">
        <v>649</v>
      </c>
      <c r="G13" s="11" t="s">
        <v>305</v>
      </c>
      <c r="H13" s="11" t="s">
        <v>247</v>
      </c>
      <c r="I13" s="11" t="s">
        <v>305</v>
      </c>
      <c r="J13" s="11" t="s">
        <v>71</v>
      </c>
      <c r="K13" s="13" t="n">
        <v>850</v>
      </c>
      <c r="L13" s="13" t="n">
        <v>550</v>
      </c>
      <c r="M13" s="13" t="n">
        <f aca="false">K13+L13</f>
        <v>1400</v>
      </c>
      <c r="N13" s="19" t="n">
        <v>10.2</v>
      </c>
      <c r="O13" s="19" t="n">
        <f aca="false">IF(N13&lt;=35,1,0.25)*M13/(N13+10)*IF(ISNUMBER(SEARCH("KD mismatch",U13)),0.25,1)</f>
        <v>69.3069306930693</v>
      </c>
      <c r="P13" s="20" t="str">
        <f aca="false">IF(N13&lt;=10,"Quick win",IF(N13&lt;=20,"Strong",IF(N13&lt;=35,"Moderate","Stretch")))</f>
        <v>Strong</v>
      </c>
      <c r="Q13" s="12" t="s">
        <v>696</v>
      </c>
      <c r="R13" s="12"/>
      <c r="S13" s="12" t="s">
        <v>697</v>
      </c>
      <c r="T13" s="12"/>
      <c r="U13" s="12" t="s">
        <v>667</v>
      </c>
      <c r="V13" s="14" t="s">
        <v>203</v>
      </c>
      <c r="W13" s="14"/>
      <c r="X13" s="15"/>
      <c r="Y13" s="14"/>
      <c r="Z13" s="24"/>
    </row>
    <row r="14" customFormat="false" ht="23.85" hidden="false" customHeight="false" outlineLevel="0" collapsed="false">
      <c r="A14" s="11" t="n">
        <v>13</v>
      </c>
      <c r="B14" s="11" t="s">
        <v>2</v>
      </c>
      <c r="C14" s="11" t="s">
        <v>698</v>
      </c>
      <c r="D14" s="11" t="s">
        <v>699</v>
      </c>
      <c r="E14" s="20" t="s">
        <v>648</v>
      </c>
      <c r="F14" s="11" t="s">
        <v>700</v>
      </c>
      <c r="G14" s="11" t="s">
        <v>238</v>
      </c>
      <c r="H14" s="11" t="s">
        <v>204</v>
      </c>
      <c r="I14" s="11" t="s">
        <v>238</v>
      </c>
      <c r="J14" s="11" t="s">
        <v>143</v>
      </c>
      <c r="K14" s="13" t="n">
        <v>760</v>
      </c>
      <c r="L14" s="13" t="n">
        <v>680</v>
      </c>
      <c r="M14" s="13" t="n">
        <f aca="false">K14+L14</f>
        <v>1440</v>
      </c>
      <c r="N14" s="19" t="n">
        <v>11</v>
      </c>
      <c r="O14" s="19" t="n">
        <f aca="false">IF(N14&lt;=35,1,0.25)*M14/(N14+10)*IF(ISNUMBER(SEARCH("KD mismatch",U14)),0.25,1)</f>
        <v>68.5714285714286</v>
      </c>
      <c r="P14" s="20" t="str">
        <f aca="false">IF(N14&lt;=10,"Quick win",IF(N14&lt;=20,"Strong",IF(N14&lt;=35,"Moderate","Stretch")))</f>
        <v>Strong</v>
      </c>
      <c r="Q14" s="12" t="s">
        <v>701</v>
      </c>
      <c r="R14" s="12"/>
      <c r="S14" s="12" t="s">
        <v>702</v>
      </c>
      <c r="T14" s="12"/>
      <c r="U14" s="12" t="s">
        <v>667</v>
      </c>
      <c r="V14" s="14" t="s">
        <v>203</v>
      </c>
      <c r="W14" s="14"/>
      <c r="X14" s="15"/>
      <c r="Y14" s="14"/>
      <c r="Z14" s="24"/>
    </row>
    <row r="15" customFormat="false" ht="23.85" hidden="false" customHeight="false" outlineLevel="0" collapsed="false">
      <c r="A15" s="11" t="n">
        <v>14</v>
      </c>
      <c r="B15" s="11" t="s">
        <v>2</v>
      </c>
      <c r="C15" s="11" t="s">
        <v>703</v>
      </c>
      <c r="D15" s="11" t="s">
        <v>704</v>
      </c>
      <c r="E15" s="20" t="s">
        <v>648</v>
      </c>
      <c r="F15" s="11" t="s">
        <v>700</v>
      </c>
      <c r="G15" s="11" t="s">
        <v>231</v>
      </c>
      <c r="H15" s="11" t="s">
        <v>232</v>
      </c>
      <c r="I15" s="11" t="s">
        <v>231</v>
      </c>
      <c r="J15" s="11" t="s">
        <v>143</v>
      </c>
      <c r="K15" s="13" t="n">
        <v>590</v>
      </c>
      <c r="L15" s="13" t="n">
        <v>590</v>
      </c>
      <c r="M15" s="13" t="n">
        <f aca="false">K15+L15</f>
        <v>1180</v>
      </c>
      <c r="N15" s="19" t="n">
        <v>7.5</v>
      </c>
      <c r="O15" s="19" t="n">
        <f aca="false">IF(N15&lt;=35,1,0.25)*M15/(N15+10)*IF(ISNUMBER(SEARCH("KD mismatch",U15)),0.25,1)</f>
        <v>67.4285714285714</v>
      </c>
      <c r="P15" s="20" t="str">
        <f aca="false">IF(N15&lt;=10,"Quick win",IF(N15&lt;=20,"Strong",IF(N15&lt;=35,"Moderate","Stretch")))</f>
        <v>Quick win</v>
      </c>
      <c r="Q15" s="12"/>
      <c r="R15" s="12"/>
      <c r="S15" s="12" t="s">
        <v>705</v>
      </c>
      <c r="T15" s="12"/>
      <c r="U15" s="12" t="s">
        <v>667</v>
      </c>
      <c r="V15" s="14" t="s">
        <v>203</v>
      </c>
      <c r="W15" s="14"/>
      <c r="X15" s="15"/>
      <c r="Y15" s="14"/>
      <c r="Z15" s="24"/>
    </row>
    <row r="16" customFormat="false" ht="68.65" hidden="false" customHeight="false" outlineLevel="0" collapsed="false">
      <c r="A16" s="11" t="n">
        <v>15</v>
      </c>
      <c r="B16" s="11" t="s">
        <v>2</v>
      </c>
      <c r="C16" s="11" t="s">
        <v>112</v>
      </c>
      <c r="D16" s="11" t="s">
        <v>114</v>
      </c>
      <c r="E16" s="20" t="s">
        <v>627</v>
      </c>
      <c r="F16" s="11" t="s">
        <v>642</v>
      </c>
      <c r="G16" s="11" t="s">
        <v>115</v>
      </c>
      <c r="H16" s="11" t="s">
        <v>706</v>
      </c>
      <c r="I16" s="11" t="s">
        <v>115</v>
      </c>
      <c r="J16" s="11" t="s">
        <v>56</v>
      </c>
      <c r="K16" s="13" t="n">
        <v>1070</v>
      </c>
      <c r="L16" s="13" t="n">
        <v>0</v>
      </c>
      <c r="M16" s="13" t="n">
        <f aca="false">K16+L16</f>
        <v>1070</v>
      </c>
      <c r="N16" s="19" t="n">
        <v>6</v>
      </c>
      <c r="O16" s="19" t="n">
        <f aca="false">IF(N16&lt;=35,1,0.25)*M16/(N16+10)*IF(ISNUMBER(SEARCH("KD mismatch",U16)),0.25,1)</f>
        <v>66.875</v>
      </c>
      <c r="P16" s="20" t="str">
        <f aca="false">IF(N16&lt;=10,"Quick win",IF(N16&lt;=20,"Strong",IF(N16&lt;=35,"Moderate","Stretch")))</f>
        <v>Quick win</v>
      </c>
      <c r="Q16" s="12" t="s">
        <v>707</v>
      </c>
      <c r="R16" s="12"/>
      <c r="S16" s="12" t="s">
        <v>708</v>
      </c>
      <c r="T16" s="12" t="s">
        <v>709</v>
      </c>
      <c r="U16" s="12"/>
      <c r="V16" s="14" t="s">
        <v>646</v>
      </c>
      <c r="W16" s="14"/>
      <c r="X16" s="15"/>
      <c r="Y16" s="14"/>
      <c r="Z16" s="24" t="s">
        <v>710</v>
      </c>
    </row>
    <row r="17" customFormat="false" ht="68.65" hidden="false" customHeight="false" outlineLevel="0" collapsed="false">
      <c r="A17" s="11" t="n">
        <v>16</v>
      </c>
      <c r="B17" s="11" t="s">
        <v>2</v>
      </c>
      <c r="C17" s="11" t="s">
        <v>121</v>
      </c>
      <c r="D17" s="11" t="s">
        <v>123</v>
      </c>
      <c r="E17" s="20" t="s">
        <v>648</v>
      </c>
      <c r="F17" s="11" t="s">
        <v>649</v>
      </c>
      <c r="G17" s="11" t="s">
        <v>124</v>
      </c>
      <c r="H17" s="11" t="s">
        <v>711</v>
      </c>
      <c r="I17" s="11" t="s">
        <v>124</v>
      </c>
      <c r="J17" s="11" t="s">
        <v>71</v>
      </c>
      <c r="K17" s="13" t="n">
        <v>660</v>
      </c>
      <c r="L17" s="13" t="n">
        <v>530</v>
      </c>
      <c r="M17" s="13" t="n">
        <f aca="false">K17+L17</f>
        <v>1190</v>
      </c>
      <c r="N17" s="19" t="n">
        <v>7.8</v>
      </c>
      <c r="O17" s="19" t="n">
        <f aca="false">IF(N17&lt;=35,1,0.25)*M17/(N17+10)*IF(ISNUMBER(SEARCH("KD mismatch",U17)),0.25,1)</f>
        <v>66.8539325842697</v>
      </c>
      <c r="P17" s="20" t="str">
        <f aca="false">IF(N17&lt;=10,"Quick win",IF(N17&lt;=20,"Strong",IF(N17&lt;=35,"Moderate","Stretch")))</f>
        <v>Quick win</v>
      </c>
      <c r="Q17" s="12" t="s">
        <v>712</v>
      </c>
      <c r="R17" s="12"/>
      <c r="S17" s="12" t="s">
        <v>713</v>
      </c>
      <c r="T17" s="12"/>
      <c r="U17" s="12"/>
      <c r="V17" s="14" t="s">
        <v>646</v>
      </c>
      <c r="W17" s="14"/>
      <c r="X17" s="15"/>
      <c r="Y17" s="14"/>
      <c r="Z17" s="24" t="s">
        <v>714</v>
      </c>
    </row>
    <row r="18" customFormat="false" ht="68.65" hidden="false" customHeight="false" outlineLevel="0" collapsed="false">
      <c r="A18" s="11" t="n">
        <v>17</v>
      </c>
      <c r="B18" s="11" t="s">
        <v>2</v>
      </c>
      <c r="C18" s="11" t="s">
        <v>130</v>
      </c>
      <c r="D18" s="11" t="s">
        <v>132</v>
      </c>
      <c r="E18" s="20" t="s">
        <v>648</v>
      </c>
      <c r="F18" s="11" t="s">
        <v>649</v>
      </c>
      <c r="G18" s="11" t="s">
        <v>133</v>
      </c>
      <c r="H18" s="11" t="s">
        <v>247</v>
      </c>
      <c r="I18" s="11" t="s">
        <v>133</v>
      </c>
      <c r="J18" s="11" t="s">
        <v>71</v>
      </c>
      <c r="K18" s="13" t="n">
        <v>800</v>
      </c>
      <c r="L18" s="13" t="n">
        <v>310</v>
      </c>
      <c r="M18" s="13" t="n">
        <f aca="false">K18+L18</f>
        <v>1110</v>
      </c>
      <c r="N18" s="19" t="n">
        <v>6.9</v>
      </c>
      <c r="O18" s="19" t="n">
        <f aca="false">IF(N18&lt;=35,1,0.25)*M18/(N18+10)*IF(ISNUMBER(SEARCH("KD mismatch",U18)),0.25,1)</f>
        <v>65.6804733727811</v>
      </c>
      <c r="P18" s="20" t="str">
        <f aca="false">IF(N18&lt;=10,"Quick win",IF(N18&lt;=20,"Strong",IF(N18&lt;=35,"Moderate","Stretch")))</f>
        <v>Quick win</v>
      </c>
      <c r="Q18" s="12" t="s">
        <v>715</v>
      </c>
      <c r="R18" s="12"/>
      <c r="S18" s="12" t="s">
        <v>716</v>
      </c>
      <c r="T18" s="12"/>
      <c r="U18" s="12"/>
      <c r="V18" s="14" t="s">
        <v>646</v>
      </c>
      <c r="W18" s="14"/>
      <c r="X18" s="15"/>
      <c r="Y18" s="14"/>
      <c r="Z18" s="24" t="s">
        <v>717</v>
      </c>
    </row>
    <row r="19" customFormat="false" ht="23.85" hidden="false" customHeight="false" outlineLevel="0" collapsed="false">
      <c r="A19" s="11" t="n">
        <v>18</v>
      </c>
      <c r="B19" s="11" t="s">
        <v>2</v>
      </c>
      <c r="C19" s="11" t="s">
        <v>718</v>
      </c>
      <c r="D19" s="11" t="s">
        <v>719</v>
      </c>
      <c r="E19" s="20" t="s">
        <v>648</v>
      </c>
      <c r="F19" s="11" t="s">
        <v>700</v>
      </c>
      <c r="G19" s="11" t="s">
        <v>70</v>
      </c>
      <c r="H19" s="11" t="s">
        <v>650</v>
      </c>
      <c r="I19" s="11" t="s">
        <v>70</v>
      </c>
      <c r="J19" s="11" t="s">
        <v>143</v>
      </c>
      <c r="K19" s="13" t="n">
        <v>390</v>
      </c>
      <c r="L19" s="13" t="n">
        <v>590</v>
      </c>
      <c r="M19" s="13" t="n">
        <f aca="false">K19+L19</f>
        <v>980</v>
      </c>
      <c r="N19" s="19" t="n">
        <v>5</v>
      </c>
      <c r="O19" s="19" t="n">
        <f aca="false">IF(N19&lt;=35,1,0.25)*M19/(N19+10)*IF(ISNUMBER(SEARCH("KD mismatch",U19)),0.25,1)</f>
        <v>65.3333333333333</v>
      </c>
      <c r="P19" s="20" t="str">
        <f aca="false">IF(N19&lt;=10,"Quick win",IF(N19&lt;=20,"Strong",IF(N19&lt;=35,"Moderate","Stretch")))</f>
        <v>Quick win</v>
      </c>
      <c r="Q19" s="12"/>
      <c r="R19" s="12"/>
      <c r="S19" s="12" t="s">
        <v>720</v>
      </c>
      <c r="T19" s="12"/>
      <c r="U19" s="12" t="s">
        <v>667</v>
      </c>
      <c r="V19" s="14" t="s">
        <v>203</v>
      </c>
      <c r="W19" s="14"/>
      <c r="X19" s="15"/>
      <c r="Y19" s="14"/>
      <c r="Z19" s="24"/>
    </row>
    <row r="20" customFormat="false" ht="23.85" hidden="false" customHeight="false" outlineLevel="0" collapsed="false">
      <c r="A20" s="11" t="n">
        <v>19</v>
      </c>
      <c r="B20" s="11" t="s">
        <v>2</v>
      </c>
      <c r="C20" s="11" t="s">
        <v>721</v>
      </c>
      <c r="D20" s="11" t="s">
        <v>722</v>
      </c>
      <c r="E20" s="20" t="s">
        <v>627</v>
      </c>
      <c r="F20" s="11" t="s">
        <v>642</v>
      </c>
      <c r="G20" s="11" t="s">
        <v>238</v>
      </c>
      <c r="H20" s="11" t="s">
        <v>204</v>
      </c>
      <c r="I20" s="11" t="s">
        <v>238</v>
      </c>
      <c r="J20" s="11" t="s">
        <v>56</v>
      </c>
      <c r="K20" s="13" t="n">
        <v>480</v>
      </c>
      <c r="L20" s="13" t="n">
        <v>590</v>
      </c>
      <c r="M20" s="13" t="n">
        <f aca="false">K20+L20</f>
        <v>1070</v>
      </c>
      <c r="N20" s="19" t="n">
        <v>6.4</v>
      </c>
      <c r="O20" s="19" t="n">
        <f aca="false">IF(N20&lt;=35,1,0.25)*M20/(N20+10)*IF(ISNUMBER(SEARCH("KD mismatch",U20)),0.25,1)</f>
        <v>65.2439024390244</v>
      </c>
      <c r="P20" s="20" t="str">
        <f aca="false">IF(N20&lt;=10,"Quick win",IF(N20&lt;=20,"Strong",IF(N20&lt;=35,"Moderate","Stretch")))</f>
        <v>Quick win</v>
      </c>
      <c r="Q20" s="12"/>
      <c r="R20" s="12"/>
      <c r="S20" s="12" t="s">
        <v>723</v>
      </c>
      <c r="T20" s="12"/>
      <c r="U20" s="12"/>
      <c r="V20" s="14" t="s">
        <v>203</v>
      </c>
      <c r="W20" s="14"/>
      <c r="X20" s="15"/>
      <c r="Y20" s="14"/>
      <c r="Z20" s="24"/>
    </row>
    <row r="21" customFormat="false" ht="23.85" hidden="false" customHeight="false" outlineLevel="0" collapsed="false">
      <c r="A21" s="11" t="n">
        <v>20</v>
      </c>
      <c r="B21" s="11" t="s">
        <v>2</v>
      </c>
      <c r="C21" s="11" t="s">
        <v>724</v>
      </c>
      <c r="D21" s="11" t="s">
        <v>725</v>
      </c>
      <c r="E21" s="20" t="s">
        <v>648</v>
      </c>
      <c r="F21" s="11" t="s">
        <v>649</v>
      </c>
      <c r="G21" s="11" t="s">
        <v>238</v>
      </c>
      <c r="H21" s="11" t="s">
        <v>204</v>
      </c>
      <c r="I21" s="11" t="s">
        <v>238</v>
      </c>
      <c r="J21" s="11" t="s">
        <v>71</v>
      </c>
      <c r="K21" s="13" t="n">
        <v>1280</v>
      </c>
      <c r="L21" s="13" t="n">
        <v>190</v>
      </c>
      <c r="M21" s="13" t="n">
        <f aca="false">K21+L21</f>
        <v>1470</v>
      </c>
      <c r="N21" s="19" t="n">
        <v>12.7</v>
      </c>
      <c r="O21" s="19" t="n">
        <f aca="false">IF(N21&lt;=35,1,0.25)*M21/(N21+10)*IF(ISNUMBER(SEARCH("KD mismatch",U21)),0.25,1)</f>
        <v>64.7577092511013</v>
      </c>
      <c r="P21" s="20" t="str">
        <f aca="false">IF(N21&lt;=10,"Quick win",IF(N21&lt;=20,"Strong",IF(N21&lt;=35,"Moderate","Stretch")))</f>
        <v>Strong</v>
      </c>
      <c r="Q21" s="12" t="s">
        <v>726</v>
      </c>
      <c r="R21" s="12"/>
      <c r="S21" s="12" t="s">
        <v>727</v>
      </c>
      <c r="T21" s="12"/>
      <c r="U21" s="12"/>
      <c r="V21" s="14" t="s">
        <v>203</v>
      </c>
      <c r="W21" s="14"/>
      <c r="X21" s="15"/>
      <c r="Y21" s="14"/>
      <c r="Z21" s="24"/>
    </row>
    <row r="22" customFormat="false" ht="23.85" hidden="false" customHeight="false" outlineLevel="0" collapsed="false">
      <c r="A22" s="11" t="n">
        <v>21</v>
      </c>
      <c r="B22" s="11" t="s">
        <v>2</v>
      </c>
      <c r="C22" s="11" t="s">
        <v>728</v>
      </c>
      <c r="D22" s="11" t="s">
        <v>729</v>
      </c>
      <c r="E22" s="20" t="s">
        <v>627</v>
      </c>
      <c r="F22" s="11" t="s">
        <v>642</v>
      </c>
      <c r="G22" s="11" t="s">
        <v>730</v>
      </c>
      <c r="H22" s="11" t="s">
        <v>204</v>
      </c>
      <c r="I22" s="11" t="s">
        <v>204</v>
      </c>
      <c r="J22" s="11" t="s">
        <v>56</v>
      </c>
      <c r="K22" s="13" t="n">
        <v>480</v>
      </c>
      <c r="L22" s="13" t="n">
        <v>480</v>
      </c>
      <c r="M22" s="13" t="n">
        <f aca="false">K22+L22</f>
        <v>960</v>
      </c>
      <c r="N22" s="19" t="n">
        <v>5</v>
      </c>
      <c r="O22" s="19" t="n">
        <f aca="false">IF(N22&lt;=35,1,0.25)*M22/(N22+10)*IF(ISNUMBER(SEARCH("KD mismatch",U22)),0.25,1)</f>
        <v>64</v>
      </c>
      <c r="P22" s="20" t="str">
        <f aca="false">IF(N22&lt;=10,"Quick win",IF(N22&lt;=20,"Strong",IF(N22&lt;=35,"Moderate","Stretch")))</f>
        <v>Quick win</v>
      </c>
      <c r="Q22" s="12"/>
      <c r="R22" s="12"/>
      <c r="S22" s="12" t="s">
        <v>731</v>
      </c>
      <c r="T22" s="12"/>
      <c r="U22" s="12"/>
      <c r="V22" s="14" t="s">
        <v>203</v>
      </c>
      <c r="W22" s="14"/>
      <c r="X22" s="15"/>
      <c r="Y22" s="14"/>
      <c r="Z22" s="24"/>
    </row>
    <row r="23" customFormat="false" ht="23.85" hidden="false" customHeight="false" outlineLevel="0" collapsed="false">
      <c r="A23" s="11" t="n">
        <v>22</v>
      </c>
      <c r="B23" s="11" t="s">
        <v>2</v>
      </c>
      <c r="C23" s="11" t="s">
        <v>732</v>
      </c>
      <c r="D23" s="11" t="s">
        <v>733</v>
      </c>
      <c r="E23" s="20" t="s">
        <v>648</v>
      </c>
      <c r="F23" s="11" t="s">
        <v>700</v>
      </c>
      <c r="G23" s="11" t="s">
        <v>276</v>
      </c>
      <c r="H23" s="11" t="s">
        <v>276</v>
      </c>
      <c r="I23" s="11" t="s">
        <v>276</v>
      </c>
      <c r="J23" s="11" t="s">
        <v>143</v>
      </c>
      <c r="K23" s="13" t="n">
        <v>500</v>
      </c>
      <c r="L23" s="13" t="n">
        <v>310</v>
      </c>
      <c r="M23" s="13" t="n">
        <f aca="false">K23+L23</f>
        <v>810</v>
      </c>
      <c r="N23" s="19" t="n">
        <v>3.1</v>
      </c>
      <c r="O23" s="19" t="n">
        <f aca="false">IF(N23&lt;=35,1,0.25)*M23/(N23+10)*IF(ISNUMBER(SEARCH("KD mismatch",U23)),0.25,1)</f>
        <v>61.8320610687023</v>
      </c>
      <c r="P23" s="20" t="str">
        <f aca="false">IF(N23&lt;=10,"Quick win",IF(N23&lt;=20,"Strong",IF(N23&lt;=35,"Moderate","Stretch")))</f>
        <v>Quick win</v>
      </c>
      <c r="Q23" s="12" t="s">
        <v>734</v>
      </c>
      <c r="R23" s="12"/>
      <c r="S23" s="12" t="s">
        <v>735</v>
      </c>
      <c r="T23" s="12"/>
      <c r="U23" s="12" t="s">
        <v>667</v>
      </c>
      <c r="V23" s="14" t="s">
        <v>203</v>
      </c>
      <c r="W23" s="14"/>
      <c r="X23" s="15"/>
      <c r="Y23" s="14"/>
      <c r="Z23" s="24"/>
    </row>
    <row r="24" customFormat="false" ht="23.85" hidden="false" customHeight="false" outlineLevel="0" collapsed="false">
      <c r="A24" s="11" t="n">
        <v>23</v>
      </c>
      <c r="B24" s="11" t="s">
        <v>2</v>
      </c>
      <c r="C24" s="11" t="s">
        <v>736</v>
      </c>
      <c r="D24" s="11" t="s">
        <v>737</v>
      </c>
      <c r="E24" s="20" t="s">
        <v>627</v>
      </c>
      <c r="F24" s="11" t="s">
        <v>738</v>
      </c>
      <c r="G24" s="11" t="s">
        <v>205</v>
      </c>
      <c r="H24" s="11" t="s">
        <v>205</v>
      </c>
      <c r="I24" s="11" t="s">
        <v>205</v>
      </c>
      <c r="J24" s="11" t="s">
        <v>183</v>
      </c>
      <c r="K24" s="13" t="n">
        <v>0</v>
      </c>
      <c r="L24" s="13" t="n">
        <v>920</v>
      </c>
      <c r="M24" s="13" t="n">
        <f aca="false">K24+L24</f>
        <v>920</v>
      </c>
      <c r="N24" s="19" t="n">
        <v>5</v>
      </c>
      <c r="O24" s="19" t="n">
        <f aca="false">IF(N24&lt;=35,1,0.25)*M24/(N24+10)*IF(ISNUMBER(SEARCH("KD mismatch",U24)),0.25,1)</f>
        <v>61.3333333333333</v>
      </c>
      <c r="P24" s="20" t="str">
        <f aca="false">IF(N24&lt;=10,"Quick win",IF(N24&lt;=20,"Strong",IF(N24&lt;=35,"Moderate","Stretch")))</f>
        <v>Quick win</v>
      </c>
      <c r="Q24" s="12"/>
      <c r="R24" s="12" t="s">
        <v>739</v>
      </c>
      <c r="S24" s="12" t="s">
        <v>740</v>
      </c>
      <c r="T24" s="12"/>
      <c r="U24" s="12"/>
      <c r="V24" s="14" t="s">
        <v>203</v>
      </c>
      <c r="W24" s="14"/>
      <c r="X24" s="15"/>
      <c r="Y24" s="14"/>
      <c r="Z24" s="24"/>
    </row>
    <row r="25" customFormat="false" ht="23.85" hidden="false" customHeight="false" outlineLevel="0" collapsed="false">
      <c r="A25" s="11" t="n">
        <v>24</v>
      </c>
      <c r="B25" s="11" t="s">
        <v>2</v>
      </c>
      <c r="C25" s="11" t="s">
        <v>741</v>
      </c>
      <c r="D25" s="11" t="s">
        <v>742</v>
      </c>
      <c r="E25" s="20" t="s">
        <v>627</v>
      </c>
      <c r="F25" s="11" t="s">
        <v>642</v>
      </c>
      <c r="G25" s="11" t="s">
        <v>227</v>
      </c>
      <c r="H25" s="11" t="s">
        <v>228</v>
      </c>
      <c r="I25" s="11" t="s">
        <v>227</v>
      </c>
      <c r="J25" s="11" t="s">
        <v>56</v>
      </c>
      <c r="K25" s="13" t="n">
        <v>740</v>
      </c>
      <c r="L25" s="13" t="n">
        <v>220</v>
      </c>
      <c r="M25" s="13" t="n">
        <f aca="false">K25+L25</f>
        <v>960</v>
      </c>
      <c r="N25" s="19" t="n">
        <v>5.7</v>
      </c>
      <c r="O25" s="19" t="n">
        <f aca="false">IF(N25&lt;=35,1,0.25)*M25/(N25+10)*IF(ISNUMBER(SEARCH("KD mismatch",U25)),0.25,1)</f>
        <v>61.1464968152866</v>
      </c>
      <c r="P25" s="20" t="str">
        <f aca="false">IF(N25&lt;=10,"Quick win",IF(N25&lt;=20,"Strong",IF(N25&lt;=35,"Moderate","Stretch")))</f>
        <v>Quick win</v>
      </c>
      <c r="Q25" s="12" t="s">
        <v>743</v>
      </c>
      <c r="R25" s="12" t="s">
        <v>744</v>
      </c>
      <c r="S25" s="12" t="s">
        <v>745</v>
      </c>
      <c r="T25" s="12"/>
      <c r="U25" s="12"/>
      <c r="V25" s="14" t="s">
        <v>203</v>
      </c>
      <c r="W25" s="14"/>
      <c r="X25" s="15"/>
      <c r="Y25" s="14"/>
      <c r="Z25" s="24"/>
    </row>
    <row r="26" customFormat="false" ht="23.85" hidden="false" customHeight="false" outlineLevel="0" collapsed="false">
      <c r="A26" s="11" t="n">
        <v>25</v>
      </c>
      <c r="B26" s="11" t="s">
        <v>2</v>
      </c>
      <c r="C26" s="11" t="s">
        <v>746</v>
      </c>
      <c r="D26" s="11" t="s">
        <v>747</v>
      </c>
      <c r="E26" s="20" t="s">
        <v>648</v>
      </c>
      <c r="F26" s="11" t="s">
        <v>649</v>
      </c>
      <c r="G26" s="11" t="s">
        <v>235</v>
      </c>
      <c r="H26" s="11" t="s">
        <v>687</v>
      </c>
      <c r="I26" s="11" t="s">
        <v>235</v>
      </c>
      <c r="J26" s="11" t="s">
        <v>71</v>
      </c>
      <c r="K26" s="13" t="n">
        <v>930</v>
      </c>
      <c r="L26" s="13" t="n">
        <v>730</v>
      </c>
      <c r="M26" s="13" t="n">
        <f aca="false">K26+L26</f>
        <v>1660</v>
      </c>
      <c r="N26" s="19" t="n">
        <v>17.7</v>
      </c>
      <c r="O26" s="19" t="n">
        <f aca="false">IF(N26&lt;=35,1,0.25)*M26/(N26+10)*IF(ISNUMBER(SEARCH("KD mismatch",U26)),0.25,1)</f>
        <v>59.927797833935</v>
      </c>
      <c r="P26" s="20" t="str">
        <f aca="false">IF(N26&lt;=10,"Quick win",IF(N26&lt;=20,"Strong",IF(N26&lt;=35,"Moderate","Stretch")))</f>
        <v>Strong</v>
      </c>
      <c r="Q26" s="12" t="s">
        <v>748</v>
      </c>
      <c r="R26" s="12"/>
      <c r="S26" s="12" t="s">
        <v>749</v>
      </c>
      <c r="T26" s="12"/>
      <c r="U26" s="12"/>
      <c r="V26" s="14" t="s">
        <v>203</v>
      </c>
      <c r="W26" s="14"/>
      <c r="X26" s="15"/>
      <c r="Y26" s="14"/>
      <c r="Z26" s="24"/>
    </row>
    <row r="27" customFormat="false" ht="23.85" hidden="false" customHeight="false" outlineLevel="0" collapsed="false">
      <c r="A27" s="11" t="n">
        <v>26</v>
      </c>
      <c r="B27" s="11" t="s">
        <v>2</v>
      </c>
      <c r="C27" s="11" t="s">
        <v>750</v>
      </c>
      <c r="D27" s="11" t="s">
        <v>751</v>
      </c>
      <c r="E27" s="20" t="s">
        <v>648</v>
      </c>
      <c r="F27" s="11" t="s">
        <v>649</v>
      </c>
      <c r="G27" s="11" t="s">
        <v>279</v>
      </c>
      <c r="H27" s="11" t="s">
        <v>214</v>
      </c>
      <c r="I27" s="11" t="s">
        <v>279</v>
      </c>
      <c r="J27" s="11" t="s">
        <v>71</v>
      </c>
      <c r="K27" s="13" t="n">
        <v>990</v>
      </c>
      <c r="L27" s="13" t="n">
        <v>540</v>
      </c>
      <c r="M27" s="13" t="n">
        <f aca="false">K27+L27</f>
        <v>1530</v>
      </c>
      <c r="N27" s="19" t="n">
        <v>15.8</v>
      </c>
      <c r="O27" s="19" t="n">
        <f aca="false">IF(N27&lt;=35,1,0.25)*M27/(N27+10)*IF(ISNUMBER(SEARCH("KD mismatch",U27)),0.25,1)</f>
        <v>59.3023255813953</v>
      </c>
      <c r="P27" s="20" t="str">
        <f aca="false">IF(N27&lt;=10,"Quick win",IF(N27&lt;=20,"Strong",IF(N27&lt;=35,"Moderate","Stretch")))</f>
        <v>Strong</v>
      </c>
      <c r="Q27" s="12" t="s">
        <v>752</v>
      </c>
      <c r="R27" s="12" t="s">
        <v>753</v>
      </c>
      <c r="S27" s="12" t="s">
        <v>754</v>
      </c>
      <c r="T27" s="12"/>
      <c r="U27" s="12"/>
      <c r="V27" s="14" t="s">
        <v>203</v>
      </c>
      <c r="W27" s="14"/>
      <c r="X27" s="15"/>
      <c r="Y27" s="14"/>
      <c r="Z27" s="24"/>
    </row>
    <row r="28" customFormat="false" ht="68.65" hidden="false" customHeight="false" outlineLevel="0" collapsed="false">
      <c r="A28" s="11" t="n">
        <v>27</v>
      </c>
      <c r="B28" s="11" t="s">
        <v>2</v>
      </c>
      <c r="C28" s="11" t="s">
        <v>139</v>
      </c>
      <c r="D28" s="11" t="s">
        <v>141</v>
      </c>
      <c r="E28" s="20" t="s">
        <v>648</v>
      </c>
      <c r="F28" s="11" t="s">
        <v>755</v>
      </c>
      <c r="G28" s="11" t="s">
        <v>142</v>
      </c>
      <c r="H28" s="11" t="s">
        <v>664</v>
      </c>
      <c r="I28" s="11" t="s">
        <v>142</v>
      </c>
      <c r="J28" s="11" t="s">
        <v>143</v>
      </c>
      <c r="K28" s="13" t="n">
        <v>710</v>
      </c>
      <c r="L28" s="13" t="n">
        <v>430</v>
      </c>
      <c r="M28" s="13" t="n">
        <f aca="false">K28+L28</f>
        <v>1140</v>
      </c>
      <c r="N28" s="19" t="n">
        <v>9.7</v>
      </c>
      <c r="O28" s="19" t="n">
        <f aca="false">IF(N28&lt;=35,1,0.25)*M28/(N28+10)*IF(ISNUMBER(SEARCH("KD mismatch",U28)),0.25,1)</f>
        <v>57.8680203045685</v>
      </c>
      <c r="P28" s="20" t="str">
        <f aca="false">IF(N28&lt;=10,"Quick win",IF(N28&lt;=20,"Strong",IF(N28&lt;=35,"Moderate","Stretch")))</f>
        <v>Quick win</v>
      </c>
      <c r="Q28" s="12" t="s">
        <v>756</v>
      </c>
      <c r="R28" s="12"/>
      <c r="S28" s="12" t="s">
        <v>757</v>
      </c>
      <c r="T28" s="12"/>
      <c r="U28" s="12"/>
      <c r="V28" s="14" t="s">
        <v>646</v>
      </c>
      <c r="W28" s="14"/>
      <c r="X28" s="15"/>
      <c r="Y28" s="14"/>
      <c r="Z28" s="24" t="s">
        <v>758</v>
      </c>
    </row>
    <row r="29" customFormat="false" ht="23.85" hidden="false" customHeight="false" outlineLevel="0" collapsed="false">
      <c r="A29" s="11" t="n">
        <v>28</v>
      </c>
      <c r="B29" s="11" t="s">
        <v>2</v>
      </c>
      <c r="C29" s="11" t="s">
        <v>759</v>
      </c>
      <c r="D29" s="11" t="s">
        <v>760</v>
      </c>
      <c r="E29" s="20" t="s">
        <v>627</v>
      </c>
      <c r="F29" s="11" t="s">
        <v>642</v>
      </c>
      <c r="G29" s="11" t="s">
        <v>351</v>
      </c>
      <c r="H29" s="11" t="s">
        <v>761</v>
      </c>
      <c r="I29" s="11" t="s">
        <v>351</v>
      </c>
      <c r="J29" s="11" t="s">
        <v>56</v>
      </c>
      <c r="K29" s="13" t="n">
        <v>390</v>
      </c>
      <c r="L29" s="13" t="n">
        <v>590</v>
      </c>
      <c r="M29" s="13" t="n">
        <f aca="false">K29+L29</f>
        <v>980</v>
      </c>
      <c r="N29" s="19" t="n">
        <v>7.2</v>
      </c>
      <c r="O29" s="19" t="n">
        <f aca="false">IF(N29&lt;=35,1,0.25)*M29/(N29+10)*IF(ISNUMBER(SEARCH("KD mismatch",U29)),0.25,1)</f>
        <v>56.9767441860465</v>
      </c>
      <c r="P29" s="20" t="str">
        <f aca="false">IF(N29&lt;=10,"Quick win",IF(N29&lt;=20,"Strong",IF(N29&lt;=35,"Moderate","Stretch")))</f>
        <v>Quick win</v>
      </c>
      <c r="Q29" s="12"/>
      <c r="R29" s="12"/>
      <c r="S29" s="12" t="s">
        <v>762</v>
      </c>
      <c r="T29" s="12"/>
      <c r="U29" s="12"/>
      <c r="V29" s="14" t="s">
        <v>203</v>
      </c>
      <c r="W29" s="14"/>
      <c r="X29" s="15"/>
      <c r="Y29" s="14"/>
      <c r="Z29" s="24"/>
    </row>
    <row r="30" customFormat="false" ht="23.85" hidden="false" customHeight="false" outlineLevel="0" collapsed="false">
      <c r="A30" s="11" t="n">
        <v>29</v>
      </c>
      <c r="B30" s="11" t="s">
        <v>2</v>
      </c>
      <c r="C30" s="11" t="s">
        <v>763</v>
      </c>
      <c r="D30" s="11" t="s">
        <v>764</v>
      </c>
      <c r="E30" s="20" t="s">
        <v>648</v>
      </c>
      <c r="F30" s="11" t="s">
        <v>649</v>
      </c>
      <c r="G30" s="11" t="s">
        <v>267</v>
      </c>
      <c r="H30" s="11" t="s">
        <v>232</v>
      </c>
      <c r="I30" s="11" t="s">
        <v>267</v>
      </c>
      <c r="J30" s="11" t="s">
        <v>71</v>
      </c>
      <c r="K30" s="13" t="n">
        <v>590</v>
      </c>
      <c r="L30" s="13" t="n">
        <v>470</v>
      </c>
      <c r="M30" s="13" t="n">
        <f aca="false">K30+L30</f>
        <v>1060</v>
      </c>
      <c r="N30" s="19" t="n">
        <v>9.2</v>
      </c>
      <c r="O30" s="19" t="n">
        <f aca="false">IF(N30&lt;=35,1,0.25)*M30/(N30+10)*IF(ISNUMBER(SEARCH("KD mismatch",U30)),0.25,1)</f>
        <v>55.2083333333333</v>
      </c>
      <c r="P30" s="20" t="str">
        <f aca="false">IF(N30&lt;=10,"Quick win",IF(N30&lt;=20,"Strong",IF(N30&lt;=35,"Moderate","Stretch")))</f>
        <v>Quick win</v>
      </c>
      <c r="Q30" s="12" t="s">
        <v>765</v>
      </c>
      <c r="R30" s="12" t="s">
        <v>766</v>
      </c>
      <c r="S30" s="12" t="s">
        <v>767</v>
      </c>
      <c r="T30" s="12"/>
      <c r="U30" s="12"/>
      <c r="V30" s="14" t="s">
        <v>203</v>
      </c>
      <c r="W30" s="14"/>
      <c r="X30" s="15"/>
      <c r="Y30" s="14"/>
      <c r="Z30" s="24"/>
    </row>
    <row r="31" customFormat="false" ht="23.85" hidden="false" customHeight="false" outlineLevel="0" collapsed="false">
      <c r="A31" s="11" t="n">
        <v>30</v>
      </c>
      <c r="B31" s="11" t="s">
        <v>2</v>
      </c>
      <c r="C31" s="11" t="s">
        <v>768</v>
      </c>
      <c r="D31" s="11" t="s">
        <v>769</v>
      </c>
      <c r="E31" s="20" t="s">
        <v>627</v>
      </c>
      <c r="F31" s="11" t="s">
        <v>642</v>
      </c>
      <c r="G31" s="11" t="s">
        <v>770</v>
      </c>
      <c r="H31" s="11" t="s">
        <v>232</v>
      </c>
      <c r="I31" s="11" t="s">
        <v>232</v>
      </c>
      <c r="J31" s="11" t="s">
        <v>56</v>
      </c>
      <c r="K31" s="13" t="n">
        <v>590</v>
      </c>
      <c r="L31" s="13" t="n">
        <v>390</v>
      </c>
      <c r="M31" s="13" t="n">
        <f aca="false">K31+L31</f>
        <v>980</v>
      </c>
      <c r="N31" s="19" t="n">
        <v>7.8</v>
      </c>
      <c r="O31" s="19" t="n">
        <f aca="false">IF(N31&lt;=35,1,0.25)*M31/(N31+10)*IF(ISNUMBER(SEARCH("KD mismatch",U31)),0.25,1)</f>
        <v>55.0561797752809</v>
      </c>
      <c r="P31" s="20" t="str">
        <f aca="false">IF(N31&lt;=10,"Quick win",IF(N31&lt;=20,"Strong",IF(N31&lt;=35,"Moderate","Stretch")))</f>
        <v>Quick win</v>
      </c>
      <c r="Q31" s="12"/>
      <c r="R31" s="12"/>
      <c r="S31" s="12" t="s">
        <v>771</v>
      </c>
      <c r="T31" s="12"/>
      <c r="U31" s="12"/>
      <c r="V31" s="14" t="s">
        <v>203</v>
      </c>
      <c r="W31" s="14"/>
      <c r="X31" s="15"/>
      <c r="Y31" s="14"/>
      <c r="Z31" s="24"/>
    </row>
    <row r="32" customFormat="false" ht="23.85" hidden="false" customHeight="false" outlineLevel="0" collapsed="false">
      <c r="A32" s="11" t="n">
        <v>31</v>
      </c>
      <c r="B32" s="11" t="s">
        <v>2</v>
      </c>
      <c r="C32" s="11" t="s">
        <v>772</v>
      </c>
      <c r="D32" s="11" t="s">
        <v>773</v>
      </c>
      <c r="E32" s="20" t="s">
        <v>648</v>
      </c>
      <c r="F32" s="11" t="s">
        <v>649</v>
      </c>
      <c r="G32" s="11" t="s">
        <v>774</v>
      </c>
      <c r="H32" s="11" t="s">
        <v>775</v>
      </c>
      <c r="I32" s="11" t="s">
        <v>205</v>
      </c>
      <c r="J32" s="11" t="s">
        <v>71</v>
      </c>
      <c r="K32" s="13" t="n">
        <v>590</v>
      </c>
      <c r="L32" s="13" t="n">
        <v>590</v>
      </c>
      <c r="M32" s="13" t="n">
        <f aca="false">K32+L32</f>
        <v>1180</v>
      </c>
      <c r="N32" s="19" t="n">
        <v>11.5</v>
      </c>
      <c r="O32" s="19" t="n">
        <f aca="false">IF(N32&lt;=35,1,0.25)*M32/(N32+10)*IF(ISNUMBER(SEARCH("KD mismatch",U32)),0.25,1)</f>
        <v>54.8837209302326</v>
      </c>
      <c r="P32" s="20" t="str">
        <f aca="false">IF(N32&lt;=10,"Quick win",IF(N32&lt;=20,"Strong",IF(N32&lt;=35,"Moderate","Stretch")))</f>
        <v>Strong</v>
      </c>
      <c r="Q32" s="12"/>
      <c r="R32" s="12"/>
      <c r="S32" s="12" t="s">
        <v>776</v>
      </c>
      <c r="T32" s="12"/>
      <c r="U32" s="12"/>
      <c r="V32" s="14" t="s">
        <v>203</v>
      </c>
      <c r="W32" s="14"/>
      <c r="X32" s="15"/>
      <c r="Y32" s="14"/>
      <c r="Z32" s="24"/>
    </row>
    <row r="33" customFormat="false" ht="23.85" hidden="false" customHeight="false" outlineLevel="0" collapsed="false">
      <c r="A33" s="11" t="n">
        <v>32</v>
      </c>
      <c r="B33" s="11" t="s">
        <v>2</v>
      </c>
      <c r="C33" s="11" t="s">
        <v>777</v>
      </c>
      <c r="D33" s="11" t="s">
        <v>778</v>
      </c>
      <c r="E33" s="20" t="s">
        <v>648</v>
      </c>
      <c r="F33" s="11" t="s">
        <v>649</v>
      </c>
      <c r="G33" s="11" t="s">
        <v>779</v>
      </c>
      <c r="H33" s="11" t="s">
        <v>204</v>
      </c>
      <c r="I33" s="11" t="s">
        <v>204</v>
      </c>
      <c r="J33" s="11" t="s">
        <v>71</v>
      </c>
      <c r="K33" s="13" t="n">
        <v>330</v>
      </c>
      <c r="L33" s="13" t="n">
        <v>500</v>
      </c>
      <c r="M33" s="13" t="n">
        <f aca="false">K33+L33</f>
        <v>830</v>
      </c>
      <c r="N33" s="19" t="n">
        <v>6.3</v>
      </c>
      <c r="O33" s="19" t="n">
        <f aca="false">IF(N33&lt;=35,1,0.25)*M33/(N33+10)*IF(ISNUMBER(SEARCH("KD mismatch",U33)),0.25,1)</f>
        <v>50.920245398773</v>
      </c>
      <c r="P33" s="20" t="str">
        <f aca="false">IF(N33&lt;=10,"Quick win",IF(N33&lt;=20,"Strong",IF(N33&lt;=35,"Moderate","Stretch")))</f>
        <v>Quick win</v>
      </c>
      <c r="Q33" s="12" t="s">
        <v>780</v>
      </c>
      <c r="R33" s="12"/>
      <c r="S33" s="12" t="s">
        <v>781</v>
      </c>
      <c r="T33" s="12"/>
      <c r="U33" s="12"/>
      <c r="V33" s="14" t="s">
        <v>203</v>
      </c>
      <c r="W33" s="14"/>
      <c r="X33" s="15"/>
      <c r="Y33" s="14"/>
      <c r="Z33" s="24"/>
    </row>
    <row r="34" customFormat="false" ht="23.85" hidden="false" customHeight="false" outlineLevel="0" collapsed="false">
      <c r="A34" s="11" t="n">
        <v>33</v>
      </c>
      <c r="B34" s="11" t="s">
        <v>2</v>
      </c>
      <c r="C34" s="11" t="s">
        <v>782</v>
      </c>
      <c r="D34" s="11" t="s">
        <v>783</v>
      </c>
      <c r="E34" s="20" t="s">
        <v>648</v>
      </c>
      <c r="F34" s="11" t="s">
        <v>784</v>
      </c>
      <c r="G34" s="11" t="s">
        <v>231</v>
      </c>
      <c r="H34" s="11" t="s">
        <v>232</v>
      </c>
      <c r="I34" s="11" t="s">
        <v>231</v>
      </c>
      <c r="J34" s="11" t="s">
        <v>143</v>
      </c>
      <c r="K34" s="13" t="n">
        <v>480</v>
      </c>
      <c r="L34" s="13" t="n">
        <v>390</v>
      </c>
      <c r="M34" s="13" t="n">
        <f aca="false">K34+L34</f>
        <v>870</v>
      </c>
      <c r="N34" s="19" t="n">
        <v>7.2</v>
      </c>
      <c r="O34" s="19" t="n">
        <f aca="false">IF(N34&lt;=35,1,0.25)*M34/(N34+10)*IF(ISNUMBER(SEARCH("KD mismatch",U34)),0.25,1)</f>
        <v>50.5813953488372</v>
      </c>
      <c r="P34" s="20" t="str">
        <f aca="false">IF(N34&lt;=10,"Quick win",IF(N34&lt;=20,"Strong",IF(N34&lt;=35,"Moderate","Stretch")))</f>
        <v>Quick win</v>
      </c>
      <c r="Q34" s="12"/>
      <c r="R34" s="12"/>
      <c r="S34" s="12" t="s">
        <v>785</v>
      </c>
      <c r="T34" s="12"/>
      <c r="U34" s="12"/>
      <c r="V34" s="14" t="s">
        <v>203</v>
      </c>
      <c r="W34" s="14"/>
      <c r="X34" s="15"/>
      <c r="Y34" s="14"/>
      <c r="Z34" s="24"/>
    </row>
    <row r="35" customFormat="false" ht="23.85" hidden="false" customHeight="false" outlineLevel="0" collapsed="false">
      <c r="A35" s="11" t="n">
        <v>34</v>
      </c>
      <c r="B35" s="11" t="s">
        <v>2</v>
      </c>
      <c r="C35" s="11" t="s">
        <v>786</v>
      </c>
      <c r="D35" s="11" t="s">
        <v>787</v>
      </c>
      <c r="E35" s="20" t="s">
        <v>648</v>
      </c>
      <c r="F35" s="11" t="s">
        <v>788</v>
      </c>
      <c r="G35" s="11" t="s">
        <v>789</v>
      </c>
      <c r="H35" s="11" t="s">
        <v>204</v>
      </c>
      <c r="I35" s="11" t="s">
        <v>204</v>
      </c>
      <c r="J35" s="11" t="s">
        <v>71</v>
      </c>
      <c r="K35" s="13" t="n">
        <v>390</v>
      </c>
      <c r="L35" s="13" t="n">
        <v>480</v>
      </c>
      <c r="M35" s="13" t="n">
        <f aca="false">K35+L35</f>
        <v>870</v>
      </c>
      <c r="N35" s="19" t="n">
        <v>7.4</v>
      </c>
      <c r="O35" s="19" t="n">
        <f aca="false">IF(N35&lt;=35,1,0.25)*M35/(N35+10)*IF(ISNUMBER(SEARCH("KD mismatch",U35)),0.25,1)</f>
        <v>50</v>
      </c>
      <c r="P35" s="20" t="str">
        <f aca="false">IF(N35&lt;=10,"Quick win",IF(N35&lt;=20,"Strong",IF(N35&lt;=35,"Moderate","Stretch")))</f>
        <v>Quick win</v>
      </c>
      <c r="Q35" s="12"/>
      <c r="R35" s="12"/>
      <c r="S35" s="12" t="s">
        <v>790</v>
      </c>
      <c r="T35" s="12"/>
      <c r="U35" s="12"/>
      <c r="V35" s="14" t="s">
        <v>203</v>
      </c>
      <c r="W35" s="14"/>
      <c r="X35" s="15"/>
      <c r="Y35" s="14"/>
      <c r="Z35" s="24"/>
    </row>
    <row r="36" customFormat="false" ht="23.85" hidden="false" customHeight="false" outlineLevel="0" collapsed="false">
      <c r="A36" s="11" t="n">
        <v>35</v>
      </c>
      <c r="B36" s="11" t="s">
        <v>2</v>
      </c>
      <c r="C36" s="11" t="s">
        <v>791</v>
      </c>
      <c r="D36" s="11" t="s">
        <v>792</v>
      </c>
      <c r="E36" s="20" t="s">
        <v>648</v>
      </c>
      <c r="F36" s="11" t="s">
        <v>700</v>
      </c>
      <c r="G36" s="11" t="s">
        <v>267</v>
      </c>
      <c r="H36" s="11" t="s">
        <v>232</v>
      </c>
      <c r="I36" s="11" t="s">
        <v>267</v>
      </c>
      <c r="J36" s="11" t="s">
        <v>143</v>
      </c>
      <c r="K36" s="13" t="n">
        <v>480</v>
      </c>
      <c r="L36" s="13" t="n">
        <v>320</v>
      </c>
      <c r="M36" s="13" t="n">
        <f aca="false">K36+L36</f>
        <v>800</v>
      </c>
      <c r="N36" s="19" t="n">
        <v>6</v>
      </c>
      <c r="O36" s="19" t="n">
        <f aca="false">IF(N36&lt;=35,1,0.25)*M36/(N36+10)*IF(ISNUMBER(SEARCH("KD mismatch",U36)),0.25,1)</f>
        <v>50</v>
      </c>
      <c r="P36" s="20" t="str">
        <f aca="false">IF(N36&lt;=10,"Quick win",IF(N36&lt;=20,"Strong",IF(N36&lt;=35,"Moderate","Stretch")))</f>
        <v>Quick win</v>
      </c>
      <c r="Q36" s="12"/>
      <c r="R36" s="12"/>
      <c r="S36" s="12" t="s">
        <v>793</v>
      </c>
      <c r="T36" s="12"/>
      <c r="U36" s="12"/>
      <c r="V36" s="14" t="s">
        <v>203</v>
      </c>
      <c r="W36" s="14"/>
      <c r="X36" s="15"/>
      <c r="Y36" s="14"/>
      <c r="Z36" s="24"/>
    </row>
    <row r="37" customFormat="false" ht="23.85" hidden="false" customHeight="false" outlineLevel="0" collapsed="false">
      <c r="A37" s="11" t="n">
        <v>36</v>
      </c>
      <c r="B37" s="11" t="s">
        <v>2</v>
      </c>
      <c r="C37" s="11" t="s">
        <v>794</v>
      </c>
      <c r="D37" s="11" t="s">
        <v>795</v>
      </c>
      <c r="E37" s="20" t="s">
        <v>648</v>
      </c>
      <c r="F37" s="11" t="s">
        <v>796</v>
      </c>
      <c r="G37" s="11" t="s">
        <v>227</v>
      </c>
      <c r="H37" s="11" t="s">
        <v>228</v>
      </c>
      <c r="I37" s="11" t="s">
        <v>227</v>
      </c>
      <c r="J37" s="11" t="s">
        <v>71</v>
      </c>
      <c r="K37" s="13" t="n">
        <v>590</v>
      </c>
      <c r="L37" s="13" t="n">
        <v>210</v>
      </c>
      <c r="M37" s="13" t="n">
        <f aca="false">K37+L37</f>
        <v>800</v>
      </c>
      <c r="N37" s="19" t="n">
        <v>6</v>
      </c>
      <c r="O37" s="19" t="n">
        <f aca="false">IF(N37&lt;=35,1,0.25)*M37/(N37+10)*IF(ISNUMBER(SEARCH("KD mismatch",U37)),0.25,1)</f>
        <v>50</v>
      </c>
      <c r="P37" s="20" t="str">
        <f aca="false">IF(N37&lt;=10,"Quick win",IF(N37&lt;=20,"Strong",IF(N37&lt;=35,"Moderate","Stretch")))</f>
        <v>Quick win</v>
      </c>
      <c r="Q37" s="12"/>
      <c r="R37" s="12"/>
      <c r="S37" s="12" t="s">
        <v>797</v>
      </c>
      <c r="T37" s="12"/>
      <c r="U37" s="12"/>
      <c r="V37" s="14" t="s">
        <v>203</v>
      </c>
      <c r="W37" s="14"/>
      <c r="X37" s="15"/>
      <c r="Y37" s="14"/>
      <c r="Z37" s="24"/>
    </row>
    <row r="38" customFormat="false" ht="23.85" hidden="false" customHeight="false" outlineLevel="0" collapsed="false">
      <c r="A38" s="11" t="n">
        <v>37</v>
      </c>
      <c r="B38" s="11" t="s">
        <v>2</v>
      </c>
      <c r="C38" s="11" t="s">
        <v>798</v>
      </c>
      <c r="D38" s="11" t="s">
        <v>799</v>
      </c>
      <c r="E38" s="20" t="s">
        <v>648</v>
      </c>
      <c r="F38" s="11" t="s">
        <v>649</v>
      </c>
      <c r="G38" s="11" t="s">
        <v>276</v>
      </c>
      <c r="H38" s="11" t="s">
        <v>276</v>
      </c>
      <c r="I38" s="11" t="s">
        <v>276</v>
      </c>
      <c r="J38" s="11" t="s">
        <v>71</v>
      </c>
      <c r="K38" s="13" t="n">
        <v>760</v>
      </c>
      <c r="L38" s="13" t="n">
        <v>380</v>
      </c>
      <c r="M38" s="13" t="n">
        <f aca="false">K38+L38</f>
        <v>1140</v>
      </c>
      <c r="N38" s="19" t="n">
        <v>12.9</v>
      </c>
      <c r="O38" s="19" t="n">
        <f aca="false">IF(N38&lt;=35,1,0.25)*M38/(N38+10)*IF(ISNUMBER(SEARCH("KD mismatch",U38)),0.25,1)</f>
        <v>49.7816593886463</v>
      </c>
      <c r="P38" s="20" t="str">
        <f aca="false">IF(N38&lt;=10,"Quick win",IF(N38&lt;=20,"Strong",IF(N38&lt;=35,"Moderate","Stretch")))</f>
        <v>Strong</v>
      </c>
      <c r="Q38" s="12" t="s">
        <v>800</v>
      </c>
      <c r="R38" s="12"/>
      <c r="S38" s="12" t="s">
        <v>801</v>
      </c>
      <c r="T38" s="12"/>
      <c r="U38" s="12" t="s">
        <v>667</v>
      </c>
      <c r="V38" s="14" t="s">
        <v>203</v>
      </c>
      <c r="W38" s="14"/>
      <c r="X38" s="15"/>
      <c r="Y38" s="14"/>
      <c r="Z38" s="24"/>
    </row>
    <row r="39" customFormat="false" ht="15" hidden="false" customHeight="false" outlineLevel="0" collapsed="false">
      <c r="A39" s="11" t="n">
        <v>38</v>
      </c>
      <c r="B39" s="11" t="s">
        <v>2</v>
      </c>
      <c r="C39" s="11" t="s">
        <v>802</v>
      </c>
      <c r="D39" s="11" t="s">
        <v>803</v>
      </c>
      <c r="E39" s="20" t="s">
        <v>627</v>
      </c>
      <c r="F39" s="11" t="s">
        <v>738</v>
      </c>
      <c r="G39" s="11" t="s">
        <v>302</v>
      </c>
      <c r="H39" s="11" t="s">
        <v>302</v>
      </c>
      <c r="I39" s="11" t="s">
        <v>302</v>
      </c>
      <c r="J39" s="11" t="s">
        <v>183</v>
      </c>
      <c r="K39" s="13" t="n">
        <v>390</v>
      </c>
      <c r="L39" s="13" t="n">
        <v>590</v>
      </c>
      <c r="M39" s="13" t="n">
        <f aca="false">K39+L39</f>
        <v>980</v>
      </c>
      <c r="N39" s="19" t="n">
        <v>10</v>
      </c>
      <c r="O39" s="19" t="n">
        <f aca="false">IF(N39&lt;=35,1,0.25)*M39/(N39+10)*IF(ISNUMBER(SEARCH("KD mismatch",U39)),0.25,1)</f>
        <v>49</v>
      </c>
      <c r="P39" s="20" t="str">
        <f aca="false">IF(N39&lt;=10,"Quick win",IF(N39&lt;=20,"Strong",IF(N39&lt;=35,"Moderate","Stretch")))</f>
        <v>Quick win</v>
      </c>
      <c r="Q39" s="12"/>
      <c r="R39" s="12"/>
      <c r="S39" s="12" t="s">
        <v>804</v>
      </c>
      <c r="T39" s="12"/>
      <c r="U39" s="12" t="s">
        <v>667</v>
      </c>
      <c r="V39" s="14" t="s">
        <v>203</v>
      </c>
      <c r="W39" s="14"/>
      <c r="X39" s="15"/>
      <c r="Y39" s="14"/>
      <c r="Z39" s="24"/>
    </row>
    <row r="40" customFormat="false" ht="23.85" hidden="false" customHeight="false" outlineLevel="0" collapsed="false">
      <c r="A40" s="11" t="n">
        <v>39</v>
      </c>
      <c r="B40" s="11" t="s">
        <v>2</v>
      </c>
      <c r="C40" s="11" t="s">
        <v>805</v>
      </c>
      <c r="D40" s="11" t="s">
        <v>806</v>
      </c>
      <c r="E40" s="20" t="s">
        <v>627</v>
      </c>
      <c r="F40" s="11" t="s">
        <v>642</v>
      </c>
      <c r="G40" s="11" t="s">
        <v>318</v>
      </c>
      <c r="H40" s="11" t="s">
        <v>241</v>
      </c>
      <c r="I40" s="11" t="s">
        <v>318</v>
      </c>
      <c r="J40" s="11" t="s">
        <v>56</v>
      </c>
      <c r="K40" s="13" t="n">
        <v>480</v>
      </c>
      <c r="L40" s="13" t="n">
        <v>460</v>
      </c>
      <c r="M40" s="13" t="n">
        <f aca="false">K40+L40</f>
        <v>940</v>
      </c>
      <c r="N40" s="19" t="n">
        <v>9.2</v>
      </c>
      <c r="O40" s="19" t="n">
        <f aca="false">IF(N40&lt;=35,1,0.25)*M40/(N40+10)*IF(ISNUMBER(SEARCH("KD mismatch",U40)),0.25,1)</f>
        <v>48.9583333333333</v>
      </c>
      <c r="P40" s="20" t="str">
        <f aca="false">IF(N40&lt;=10,"Quick win",IF(N40&lt;=20,"Strong",IF(N40&lt;=35,"Moderate","Stretch")))</f>
        <v>Quick win</v>
      </c>
      <c r="Q40" s="12" t="s">
        <v>807</v>
      </c>
      <c r="R40" s="12"/>
      <c r="S40" s="12" t="s">
        <v>808</v>
      </c>
      <c r="T40" s="12"/>
      <c r="U40" s="12"/>
      <c r="V40" s="14" t="s">
        <v>203</v>
      </c>
      <c r="W40" s="14"/>
      <c r="X40" s="15"/>
      <c r="Y40" s="14"/>
      <c r="Z40" s="24"/>
    </row>
    <row r="41" customFormat="false" ht="23.85" hidden="false" customHeight="false" outlineLevel="0" collapsed="false">
      <c r="A41" s="11" t="n">
        <v>40</v>
      </c>
      <c r="B41" s="11" t="s">
        <v>2</v>
      </c>
      <c r="C41" s="11" t="s">
        <v>809</v>
      </c>
      <c r="D41" s="11" t="s">
        <v>810</v>
      </c>
      <c r="E41" s="20" t="s">
        <v>648</v>
      </c>
      <c r="F41" s="11" t="s">
        <v>700</v>
      </c>
      <c r="G41" s="11" t="s">
        <v>256</v>
      </c>
      <c r="H41" s="11" t="s">
        <v>257</v>
      </c>
      <c r="I41" s="11" t="s">
        <v>256</v>
      </c>
      <c r="J41" s="11" t="s">
        <v>143</v>
      </c>
      <c r="K41" s="13" t="n">
        <v>460</v>
      </c>
      <c r="L41" s="13" t="n">
        <v>300</v>
      </c>
      <c r="M41" s="13" t="n">
        <f aca="false">K41+L41</f>
        <v>760</v>
      </c>
      <c r="N41" s="19" t="n">
        <v>5.6</v>
      </c>
      <c r="O41" s="19" t="n">
        <f aca="false">IF(N41&lt;=35,1,0.25)*M41/(N41+10)*IF(ISNUMBER(SEARCH("KD mismatch",U41)),0.25,1)</f>
        <v>48.7179487179487</v>
      </c>
      <c r="P41" s="20" t="str">
        <f aca="false">IF(N41&lt;=10,"Quick win",IF(N41&lt;=20,"Strong",IF(N41&lt;=35,"Moderate","Stretch")))</f>
        <v>Quick win</v>
      </c>
      <c r="Q41" s="12" t="s">
        <v>811</v>
      </c>
      <c r="R41" s="12"/>
      <c r="S41" s="12" t="s">
        <v>812</v>
      </c>
      <c r="T41" s="12"/>
      <c r="U41" s="12"/>
      <c r="V41" s="14" t="s">
        <v>203</v>
      </c>
      <c r="W41" s="14"/>
      <c r="X41" s="15"/>
      <c r="Y41" s="14"/>
      <c r="Z41" s="24"/>
    </row>
    <row r="42" customFormat="false" ht="23.85" hidden="false" customHeight="false" outlineLevel="0" collapsed="false">
      <c r="A42" s="11" t="n">
        <v>41</v>
      </c>
      <c r="B42" s="11" t="s">
        <v>2</v>
      </c>
      <c r="C42" s="11" t="s">
        <v>813</v>
      </c>
      <c r="D42" s="11" t="s">
        <v>814</v>
      </c>
      <c r="E42" s="20" t="s">
        <v>627</v>
      </c>
      <c r="F42" s="11" t="s">
        <v>815</v>
      </c>
      <c r="G42" s="11" t="s">
        <v>816</v>
      </c>
      <c r="H42" s="11" t="s">
        <v>198</v>
      </c>
      <c r="I42" s="11" t="s">
        <v>198</v>
      </c>
      <c r="J42" s="11" t="s">
        <v>182</v>
      </c>
      <c r="K42" s="13" t="n">
        <v>0</v>
      </c>
      <c r="L42" s="13" t="n">
        <v>720</v>
      </c>
      <c r="M42" s="13" t="n">
        <f aca="false">K42+L42</f>
        <v>720</v>
      </c>
      <c r="N42" s="19" t="n">
        <v>5</v>
      </c>
      <c r="O42" s="19" t="n">
        <f aca="false">IF(N42&lt;=35,1,0.25)*M42/(N42+10)*IF(ISNUMBER(SEARCH("KD mismatch",U42)),0.25,1)</f>
        <v>48</v>
      </c>
      <c r="P42" s="20" t="str">
        <f aca="false">IF(N42&lt;=10,"Quick win",IF(N42&lt;=20,"Strong",IF(N42&lt;=35,"Moderate","Stretch")))</f>
        <v>Quick win</v>
      </c>
      <c r="Q42" s="12"/>
      <c r="R42" s="12"/>
      <c r="S42" s="12" t="s">
        <v>817</v>
      </c>
      <c r="T42" s="12" t="s">
        <v>818</v>
      </c>
      <c r="U42" s="12"/>
      <c r="V42" s="14" t="s">
        <v>203</v>
      </c>
      <c r="W42" s="14"/>
      <c r="X42" s="15"/>
      <c r="Y42" s="14"/>
      <c r="Z42" s="24"/>
    </row>
    <row r="43" customFormat="false" ht="23.85" hidden="false" customHeight="false" outlineLevel="0" collapsed="false">
      <c r="A43" s="11" t="n">
        <v>42</v>
      </c>
      <c r="B43" s="11" t="s">
        <v>2</v>
      </c>
      <c r="C43" s="11" t="s">
        <v>819</v>
      </c>
      <c r="D43" s="11" t="s">
        <v>820</v>
      </c>
      <c r="E43" s="20" t="s">
        <v>627</v>
      </c>
      <c r="F43" s="11" t="s">
        <v>642</v>
      </c>
      <c r="G43" s="11" t="s">
        <v>821</v>
      </c>
      <c r="H43" s="11" t="s">
        <v>822</v>
      </c>
      <c r="I43" s="11" t="s">
        <v>205</v>
      </c>
      <c r="J43" s="11" t="s">
        <v>56</v>
      </c>
      <c r="K43" s="13" t="n">
        <v>480</v>
      </c>
      <c r="L43" s="13" t="n">
        <v>320</v>
      </c>
      <c r="M43" s="13" t="n">
        <f aca="false">K43+L43</f>
        <v>800</v>
      </c>
      <c r="N43" s="19" t="n">
        <v>7.4</v>
      </c>
      <c r="O43" s="19" t="n">
        <f aca="false">IF(N43&lt;=35,1,0.25)*M43/(N43+10)*IF(ISNUMBER(SEARCH("KD mismatch",U43)),0.25,1)</f>
        <v>45.9770114942529</v>
      </c>
      <c r="P43" s="20" t="str">
        <f aca="false">IF(N43&lt;=10,"Quick win",IF(N43&lt;=20,"Strong",IF(N43&lt;=35,"Moderate","Stretch")))</f>
        <v>Quick win</v>
      </c>
      <c r="Q43" s="12"/>
      <c r="R43" s="12"/>
      <c r="S43" s="12" t="s">
        <v>823</v>
      </c>
      <c r="T43" s="12"/>
      <c r="U43" s="12"/>
      <c r="V43" s="14" t="s">
        <v>203</v>
      </c>
      <c r="W43" s="14"/>
      <c r="X43" s="15"/>
      <c r="Y43" s="14"/>
      <c r="Z43" s="24"/>
    </row>
    <row r="44" customFormat="false" ht="23.85" hidden="false" customHeight="false" outlineLevel="0" collapsed="false">
      <c r="A44" s="11" t="n">
        <v>43</v>
      </c>
      <c r="B44" s="11" t="s">
        <v>2</v>
      </c>
      <c r="C44" s="11" t="s">
        <v>824</v>
      </c>
      <c r="D44" s="11" t="s">
        <v>825</v>
      </c>
      <c r="E44" s="20" t="s">
        <v>648</v>
      </c>
      <c r="F44" s="11" t="s">
        <v>649</v>
      </c>
      <c r="G44" s="11" t="s">
        <v>333</v>
      </c>
      <c r="H44" s="11" t="s">
        <v>334</v>
      </c>
      <c r="I44" s="11" t="s">
        <v>333</v>
      </c>
      <c r="J44" s="11" t="s">
        <v>71</v>
      </c>
      <c r="K44" s="13" t="n">
        <v>300</v>
      </c>
      <c r="L44" s="13" t="n">
        <v>480</v>
      </c>
      <c r="M44" s="13" t="n">
        <f aca="false">K44+L44</f>
        <v>780</v>
      </c>
      <c r="N44" s="19" t="n">
        <v>7</v>
      </c>
      <c r="O44" s="19" t="n">
        <f aca="false">IF(N44&lt;=35,1,0.25)*M44/(N44+10)*IF(ISNUMBER(SEARCH("KD mismatch",U44)),0.25,1)</f>
        <v>45.8823529411765</v>
      </c>
      <c r="P44" s="20" t="str">
        <f aca="false">IF(N44&lt;=10,"Quick win",IF(N44&lt;=20,"Strong",IF(N44&lt;=35,"Moderate","Stretch")))</f>
        <v>Quick win</v>
      </c>
      <c r="Q44" s="12" t="s">
        <v>826</v>
      </c>
      <c r="R44" s="12"/>
      <c r="S44" s="12" t="s">
        <v>827</v>
      </c>
      <c r="T44" s="12"/>
      <c r="U44" s="12"/>
      <c r="V44" s="14" t="s">
        <v>203</v>
      </c>
      <c r="W44" s="14"/>
      <c r="X44" s="15"/>
      <c r="Y44" s="14"/>
      <c r="Z44" s="24"/>
    </row>
    <row r="45" customFormat="false" ht="23.85" hidden="false" customHeight="false" outlineLevel="0" collapsed="false">
      <c r="A45" s="11" t="n">
        <v>44</v>
      </c>
      <c r="B45" s="11" t="s">
        <v>2</v>
      </c>
      <c r="C45" s="11" t="s">
        <v>828</v>
      </c>
      <c r="D45" s="11" t="s">
        <v>829</v>
      </c>
      <c r="E45" s="20" t="s">
        <v>648</v>
      </c>
      <c r="F45" s="11" t="s">
        <v>830</v>
      </c>
      <c r="G45" s="11" t="s">
        <v>267</v>
      </c>
      <c r="H45" s="11" t="s">
        <v>232</v>
      </c>
      <c r="I45" s="11" t="s">
        <v>267</v>
      </c>
      <c r="J45" s="11" t="s">
        <v>71</v>
      </c>
      <c r="K45" s="13" t="n">
        <v>480</v>
      </c>
      <c r="L45" s="13" t="n">
        <v>260</v>
      </c>
      <c r="M45" s="13" t="n">
        <f aca="false">K45+L45</f>
        <v>740</v>
      </c>
      <c r="N45" s="19" t="n">
        <v>6.4</v>
      </c>
      <c r="O45" s="19" t="n">
        <f aca="false">IF(N45&lt;=35,1,0.25)*M45/(N45+10)*IF(ISNUMBER(SEARCH("KD mismatch",U45)),0.25,1)</f>
        <v>45.1219512195122</v>
      </c>
      <c r="P45" s="20" t="str">
        <f aca="false">IF(N45&lt;=10,"Quick win",IF(N45&lt;=20,"Strong",IF(N45&lt;=35,"Moderate","Stretch")))</f>
        <v>Quick win</v>
      </c>
      <c r="Q45" s="12"/>
      <c r="R45" s="12"/>
      <c r="S45" s="12" t="s">
        <v>831</v>
      </c>
      <c r="T45" s="12"/>
      <c r="U45" s="12"/>
      <c r="V45" s="14" t="s">
        <v>203</v>
      </c>
      <c r="W45" s="14"/>
      <c r="X45" s="15"/>
      <c r="Y45" s="14"/>
      <c r="Z45" s="24"/>
    </row>
    <row r="46" customFormat="false" ht="23.85" hidden="false" customHeight="false" outlineLevel="0" collapsed="false">
      <c r="A46" s="11" t="n">
        <v>45</v>
      </c>
      <c r="B46" s="11" t="s">
        <v>2</v>
      </c>
      <c r="C46" s="11" t="s">
        <v>832</v>
      </c>
      <c r="D46" s="11" t="s">
        <v>833</v>
      </c>
      <c r="E46" s="20" t="s">
        <v>648</v>
      </c>
      <c r="F46" s="11" t="s">
        <v>649</v>
      </c>
      <c r="G46" s="11" t="s">
        <v>361</v>
      </c>
      <c r="H46" s="11" t="s">
        <v>214</v>
      </c>
      <c r="I46" s="11" t="s">
        <v>361</v>
      </c>
      <c r="J46" s="11" t="s">
        <v>71</v>
      </c>
      <c r="K46" s="13" t="n">
        <v>1130</v>
      </c>
      <c r="L46" s="13" t="n">
        <v>130</v>
      </c>
      <c r="M46" s="13" t="n">
        <f aca="false">K46+L46</f>
        <v>1260</v>
      </c>
      <c r="N46" s="19" t="n">
        <v>18</v>
      </c>
      <c r="O46" s="19" t="n">
        <f aca="false">IF(N46&lt;=35,1,0.25)*M46/(N46+10)*IF(ISNUMBER(SEARCH("KD mismatch",U46)),0.25,1)</f>
        <v>45</v>
      </c>
      <c r="P46" s="20" t="str">
        <f aca="false">IF(N46&lt;=10,"Quick win",IF(N46&lt;=20,"Strong",IF(N46&lt;=35,"Moderate","Stretch")))</f>
        <v>Strong</v>
      </c>
      <c r="Q46" s="12" t="s">
        <v>834</v>
      </c>
      <c r="R46" s="12" t="s">
        <v>835</v>
      </c>
      <c r="S46" s="12" t="s">
        <v>836</v>
      </c>
      <c r="T46" s="12"/>
      <c r="U46" s="12"/>
      <c r="V46" s="14" t="s">
        <v>203</v>
      </c>
      <c r="W46" s="14"/>
      <c r="X46" s="15"/>
      <c r="Y46" s="14"/>
      <c r="Z46" s="24"/>
    </row>
    <row r="47" customFormat="false" ht="23.85" hidden="false" customHeight="false" outlineLevel="0" collapsed="false">
      <c r="A47" s="11" t="n">
        <v>46</v>
      </c>
      <c r="B47" s="11" t="s">
        <v>2</v>
      </c>
      <c r="C47" s="11" t="s">
        <v>837</v>
      </c>
      <c r="D47" s="11" t="s">
        <v>838</v>
      </c>
      <c r="E47" s="20" t="s">
        <v>648</v>
      </c>
      <c r="F47" s="11" t="s">
        <v>649</v>
      </c>
      <c r="G47" s="11" t="s">
        <v>327</v>
      </c>
      <c r="H47" s="11" t="s">
        <v>822</v>
      </c>
      <c r="I47" s="11" t="s">
        <v>327</v>
      </c>
      <c r="J47" s="11" t="s">
        <v>71</v>
      </c>
      <c r="K47" s="13" t="n">
        <v>640</v>
      </c>
      <c r="L47" s="13" t="n">
        <v>430</v>
      </c>
      <c r="M47" s="13" t="n">
        <f aca="false">K47+L47</f>
        <v>1070</v>
      </c>
      <c r="N47" s="19" t="n">
        <v>14</v>
      </c>
      <c r="O47" s="19" t="n">
        <f aca="false">IF(N47&lt;=35,1,0.25)*M47/(N47+10)*IF(ISNUMBER(SEARCH("KD mismatch",U47)),0.25,1)</f>
        <v>44.5833333333333</v>
      </c>
      <c r="P47" s="20" t="str">
        <f aca="false">IF(N47&lt;=10,"Quick win",IF(N47&lt;=20,"Strong",IF(N47&lt;=35,"Moderate","Stretch")))</f>
        <v>Strong</v>
      </c>
      <c r="Q47" s="12" t="s">
        <v>839</v>
      </c>
      <c r="R47" s="12"/>
      <c r="S47" s="12" t="s">
        <v>840</v>
      </c>
      <c r="T47" s="12"/>
      <c r="U47" s="12"/>
      <c r="V47" s="14" t="s">
        <v>203</v>
      </c>
      <c r="W47" s="14"/>
      <c r="X47" s="15"/>
      <c r="Y47" s="14"/>
      <c r="Z47" s="24"/>
    </row>
    <row r="48" customFormat="false" ht="15" hidden="false" customHeight="false" outlineLevel="0" collapsed="false">
      <c r="A48" s="11" t="n">
        <v>47</v>
      </c>
      <c r="B48" s="11" t="s">
        <v>2</v>
      </c>
      <c r="C48" s="11" t="s">
        <v>841</v>
      </c>
      <c r="D48" s="11" t="s">
        <v>842</v>
      </c>
      <c r="E48" s="20" t="s">
        <v>648</v>
      </c>
      <c r="F48" s="11" t="s">
        <v>649</v>
      </c>
      <c r="G48" s="11" t="s">
        <v>843</v>
      </c>
      <c r="H48" s="11" t="s">
        <v>334</v>
      </c>
      <c r="I48" s="11" t="s">
        <v>334</v>
      </c>
      <c r="J48" s="11" t="s">
        <v>71</v>
      </c>
      <c r="K48" s="13" t="n">
        <v>390</v>
      </c>
      <c r="L48" s="13" t="n">
        <v>390</v>
      </c>
      <c r="M48" s="13" t="n">
        <f aca="false">K48+L48</f>
        <v>780</v>
      </c>
      <c r="N48" s="19" t="n">
        <v>7.5</v>
      </c>
      <c r="O48" s="19" t="n">
        <f aca="false">IF(N48&lt;=35,1,0.25)*M48/(N48+10)*IF(ISNUMBER(SEARCH("KD mismatch",U48)),0.25,1)</f>
        <v>44.5714285714286</v>
      </c>
      <c r="P48" s="20" t="str">
        <f aca="false">IF(N48&lt;=10,"Quick win",IF(N48&lt;=20,"Strong",IF(N48&lt;=35,"Moderate","Stretch")))</f>
        <v>Quick win</v>
      </c>
      <c r="Q48" s="12"/>
      <c r="R48" s="12"/>
      <c r="S48" s="12" t="s">
        <v>844</v>
      </c>
      <c r="T48" s="12"/>
      <c r="U48" s="12"/>
      <c r="V48" s="14" t="s">
        <v>203</v>
      </c>
      <c r="W48" s="14"/>
      <c r="X48" s="15"/>
      <c r="Y48" s="14"/>
      <c r="Z48" s="24"/>
    </row>
    <row r="49" customFormat="false" ht="23.85" hidden="false" customHeight="false" outlineLevel="0" collapsed="false">
      <c r="A49" s="11" t="n">
        <v>48</v>
      </c>
      <c r="B49" s="11" t="s">
        <v>2</v>
      </c>
      <c r="C49" s="11" t="s">
        <v>845</v>
      </c>
      <c r="D49" s="11" t="s">
        <v>846</v>
      </c>
      <c r="E49" s="20" t="s">
        <v>627</v>
      </c>
      <c r="F49" s="11" t="s">
        <v>738</v>
      </c>
      <c r="G49" s="11" t="s">
        <v>364</v>
      </c>
      <c r="H49" s="11" t="s">
        <v>314</v>
      </c>
      <c r="I49" s="11" t="s">
        <v>364</v>
      </c>
      <c r="J49" s="11" t="s">
        <v>183</v>
      </c>
      <c r="K49" s="13" t="n">
        <v>390</v>
      </c>
      <c r="L49" s="13" t="n">
        <v>590</v>
      </c>
      <c r="M49" s="13" t="n">
        <f aca="false">K49+L49</f>
        <v>980</v>
      </c>
      <c r="N49" s="19" t="n">
        <v>12.2</v>
      </c>
      <c r="O49" s="19" t="n">
        <f aca="false">IF(N49&lt;=35,1,0.25)*M49/(N49+10)*IF(ISNUMBER(SEARCH("KD mismatch",U49)),0.25,1)</f>
        <v>44.1441441441441</v>
      </c>
      <c r="P49" s="20" t="str">
        <f aca="false">IF(N49&lt;=10,"Quick win",IF(N49&lt;=20,"Strong",IF(N49&lt;=35,"Moderate","Stretch")))</f>
        <v>Strong</v>
      </c>
      <c r="Q49" s="12"/>
      <c r="R49" s="12"/>
      <c r="S49" s="12" t="s">
        <v>847</v>
      </c>
      <c r="T49" s="12"/>
      <c r="U49" s="12" t="s">
        <v>667</v>
      </c>
      <c r="V49" s="14" t="s">
        <v>203</v>
      </c>
      <c r="W49" s="14"/>
      <c r="X49" s="15"/>
      <c r="Y49" s="14"/>
      <c r="Z49" s="24"/>
    </row>
    <row r="50" customFormat="false" ht="23.85" hidden="false" customHeight="false" outlineLevel="0" collapsed="false">
      <c r="A50" s="11" t="n">
        <v>49</v>
      </c>
      <c r="B50" s="11" t="s">
        <v>2</v>
      </c>
      <c r="C50" s="11" t="s">
        <v>848</v>
      </c>
      <c r="D50" s="11" t="s">
        <v>849</v>
      </c>
      <c r="E50" s="20" t="s">
        <v>648</v>
      </c>
      <c r="F50" s="11" t="s">
        <v>850</v>
      </c>
      <c r="G50" s="11" t="s">
        <v>227</v>
      </c>
      <c r="H50" s="11" t="s">
        <v>228</v>
      </c>
      <c r="I50" s="11" t="s">
        <v>227</v>
      </c>
      <c r="J50" s="11" t="s">
        <v>71</v>
      </c>
      <c r="K50" s="13" t="n">
        <v>390</v>
      </c>
      <c r="L50" s="13" t="n">
        <v>320</v>
      </c>
      <c r="M50" s="13" t="n">
        <f aca="false">K50+L50</f>
        <v>710</v>
      </c>
      <c r="N50" s="19" t="n">
        <v>6.4</v>
      </c>
      <c r="O50" s="19" t="n">
        <f aca="false">IF(N50&lt;=35,1,0.25)*M50/(N50+10)*IF(ISNUMBER(SEARCH("KD mismatch",U50)),0.25,1)</f>
        <v>43.2926829268293</v>
      </c>
      <c r="P50" s="20" t="str">
        <f aca="false">IF(N50&lt;=10,"Quick win",IF(N50&lt;=20,"Strong",IF(N50&lt;=35,"Moderate","Stretch")))</f>
        <v>Quick win</v>
      </c>
      <c r="Q50" s="12"/>
      <c r="R50" s="12"/>
      <c r="S50" s="12" t="s">
        <v>851</v>
      </c>
      <c r="T50" s="12"/>
      <c r="U50" s="12"/>
      <c r="V50" s="14" t="s">
        <v>203</v>
      </c>
      <c r="W50" s="14"/>
      <c r="X50" s="15"/>
      <c r="Y50" s="14"/>
      <c r="Z50" s="24"/>
    </row>
    <row r="51" customFormat="false" ht="23.85" hidden="false" customHeight="false" outlineLevel="0" collapsed="false">
      <c r="A51" s="11" t="n">
        <v>50</v>
      </c>
      <c r="B51" s="11" t="s">
        <v>2</v>
      </c>
      <c r="C51" s="11" t="s">
        <v>852</v>
      </c>
      <c r="D51" s="11" t="s">
        <v>853</v>
      </c>
      <c r="E51" s="20" t="s">
        <v>648</v>
      </c>
      <c r="F51" s="11" t="s">
        <v>649</v>
      </c>
      <c r="G51" s="11" t="s">
        <v>282</v>
      </c>
      <c r="H51" s="11" t="s">
        <v>283</v>
      </c>
      <c r="I51" s="11" t="s">
        <v>282</v>
      </c>
      <c r="J51" s="11" t="s">
        <v>71</v>
      </c>
      <c r="K51" s="13" t="n">
        <v>360</v>
      </c>
      <c r="L51" s="13" t="n">
        <v>640</v>
      </c>
      <c r="M51" s="13" t="n">
        <f aca="false">K51+L51</f>
        <v>1000</v>
      </c>
      <c r="N51" s="19" t="n">
        <v>13.1</v>
      </c>
      <c r="O51" s="19" t="n">
        <f aca="false">IF(N51&lt;=35,1,0.25)*M51/(N51+10)*IF(ISNUMBER(SEARCH("KD mismatch",U51)),0.25,1)</f>
        <v>43.2900432900433</v>
      </c>
      <c r="P51" s="20" t="str">
        <f aca="false">IF(N51&lt;=10,"Quick win",IF(N51&lt;=20,"Strong",IF(N51&lt;=35,"Moderate","Stretch")))</f>
        <v>Strong</v>
      </c>
      <c r="Q51" s="12" t="s">
        <v>854</v>
      </c>
      <c r="R51" s="12"/>
      <c r="S51" s="12" t="s">
        <v>855</v>
      </c>
      <c r="T51" s="12" t="s">
        <v>856</v>
      </c>
      <c r="U51" s="12"/>
      <c r="V51" s="14" t="s">
        <v>203</v>
      </c>
      <c r="W51" s="14"/>
      <c r="X51" s="15"/>
      <c r="Y51" s="14"/>
      <c r="Z51" s="24"/>
    </row>
    <row r="52" customFormat="false" ht="23.85" hidden="false" customHeight="false" outlineLevel="0" collapsed="false">
      <c r="A52" s="11" t="n">
        <v>51</v>
      </c>
      <c r="B52" s="11" t="s">
        <v>2</v>
      </c>
      <c r="C52" s="11" t="s">
        <v>857</v>
      </c>
      <c r="D52" s="11" t="s">
        <v>858</v>
      </c>
      <c r="E52" s="20" t="s">
        <v>627</v>
      </c>
      <c r="F52" s="11" t="s">
        <v>859</v>
      </c>
      <c r="G52" s="11" t="s">
        <v>314</v>
      </c>
      <c r="H52" s="11" t="s">
        <v>314</v>
      </c>
      <c r="I52" s="11" t="s">
        <v>314</v>
      </c>
      <c r="J52" s="11" t="s">
        <v>183</v>
      </c>
      <c r="K52" s="13" t="n">
        <v>390</v>
      </c>
      <c r="L52" s="13" t="n">
        <v>480</v>
      </c>
      <c r="M52" s="13" t="n">
        <f aca="false">K52+L52</f>
        <v>870</v>
      </c>
      <c r="N52" s="19" t="n">
        <v>10.1</v>
      </c>
      <c r="O52" s="19" t="n">
        <f aca="false">IF(N52&lt;=35,1,0.25)*M52/(N52+10)*IF(ISNUMBER(SEARCH("KD mismatch",U52)),0.25,1)</f>
        <v>43.2835820895522</v>
      </c>
      <c r="P52" s="20" t="str">
        <f aca="false">IF(N52&lt;=10,"Quick win",IF(N52&lt;=20,"Strong",IF(N52&lt;=35,"Moderate","Stretch")))</f>
        <v>Strong</v>
      </c>
      <c r="Q52" s="12"/>
      <c r="R52" s="12"/>
      <c r="S52" s="12" t="s">
        <v>860</v>
      </c>
      <c r="T52" s="12"/>
      <c r="U52" s="12"/>
      <c r="V52" s="14" t="s">
        <v>203</v>
      </c>
      <c r="W52" s="14"/>
      <c r="X52" s="15"/>
      <c r="Y52" s="14"/>
      <c r="Z52" s="24"/>
    </row>
    <row r="53" customFormat="false" ht="23.85" hidden="false" customHeight="false" outlineLevel="0" collapsed="false">
      <c r="A53" s="11" t="n">
        <v>52</v>
      </c>
      <c r="B53" s="11" t="s">
        <v>2</v>
      </c>
      <c r="C53" s="11" t="s">
        <v>861</v>
      </c>
      <c r="D53" s="11" t="s">
        <v>862</v>
      </c>
      <c r="E53" s="20" t="s">
        <v>627</v>
      </c>
      <c r="F53" s="11" t="s">
        <v>642</v>
      </c>
      <c r="G53" s="11" t="s">
        <v>142</v>
      </c>
      <c r="H53" s="11" t="s">
        <v>664</v>
      </c>
      <c r="I53" s="11" t="s">
        <v>142</v>
      </c>
      <c r="J53" s="11" t="s">
        <v>56</v>
      </c>
      <c r="K53" s="13" t="n">
        <v>260</v>
      </c>
      <c r="L53" s="13" t="n">
        <v>480</v>
      </c>
      <c r="M53" s="13" t="n">
        <f aca="false">K53+L53</f>
        <v>740</v>
      </c>
      <c r="N53" s="19" t="n">
        <v>7.1</v>
      </c>
      <c r="O53" s="19" t="n">
        <f aca="false">IF(N53&lt;=35,1,0.25)*M53/(N53+10)*IF(ISNUMBER(SEARCH("KD mismatch",U53)),0.25,1)</f>
        <v>43.2748538011696</v>
      </c>
      <c r="P53" s="20" t="str">
        <f aca="false">IF(N53&lt;=10,"Quick win",IF(N53&lt;=20,"Strong",IF(N53&lt;=35,"Moderate","Stretch")))</f>
        <v>Quick win</v>
      </c>
      <c r="Q53" s="12"/>
      <c r="R53" s="12"/>
      <c r="S53" s="12" t="s">
        <v>863</v>
      </c>
      <c r="T53" s="12"/>
      <c r="U53" s="12"/>
      <c r="V53" s="14" t="s">
        <v>203</v>
      </c>
      <c r="W53" s="14"/>
      <c r="X53" s="15"/>
      <c r="Y53" s="14"/>
      <c r="Z53" s="24"/>
    </row>
    <row r="54" customFormat="false" ht="23.85" hidden="false" customHeight="false" outlineLevel="0" collapsed="false">
      <c r="A54" s="11" t="n">
        <v>53</v>
      </c>
      <c r="B54" s="11" t="s">
        <v>2</v>
      </c>
      <c r="C54" s="11" t="s">
        <v>864</v>
      </c>
      <c r="D54" s="11" t="s">
        <v>865</v>
      </c>
      <c r="E54" s="20" t="s">
        <v>627</v>
      </c>
      <c r="F54" s="11" t="s">
        <v>642</v>
      </c>
      <c r="G54" s="11" t="s">
        <v>866</v>
      </c>
      <c r="H54" s="11" t="s">
        <v>196</v>
      </c>
      <c r="I54" s="11" t="s">
        <v>196</v>
      </c>
      <c r="J54" s="11" t="s">
        <v>56</v>
      </c>
      <c r="K54" s="13" t="n">
        <v>210</v>
      </c>
      <c r="L54" s="13" t="n">
        <v>480</v>
      </c>
      <c r="M54" s="13" t="n">
        <f aca="false">K54+L54</f>
        <v>690</v>
      </c>
      <c r="N54" s="19" t="n">
        <v>6</v>
      </c>
      <c r="O54" s="19" t="n">
        <f aca="false">IF(N54&lt;=35,1,0.25)*M54/(N54+10)*IF(ISNUMBER(SEARCH("KD mismatch",U54)),0.25,1)</f>
        <v>43.125</v>
      </c>
      <c r="P54" s="20" t="str">
        <f aca="false">IF(N54&lt;=10,"Quick win",IF(N54&lt;=20,"Strong",IF(N54&lt;=35,"Moderate","Stretch")))</f>
        <v>Quick win</v>
      </c>
      <c r="Q54" s="12"/>
      <c r="R54" s="12"/>
      <c r="S54" s="12" t="s">
        <v>867</v>
      </c>
      <c r="T54" s="12" t="s">
        <v>818</v>
      </c>
      <c r="U54" s="12"/>
      <c r="V54" s="14" t="s">
        <v>203</v>
      </c>
      <c r="W54" s="14"/>
      <c r="X54" s="15"/>
      <c r="Y54" s="14"/>
      <c r="Z54" s="24"/>
    </row>
    <row r="55" customFormat="false" ht="23.85" hidden="false" customHeight="false" outlineLevel="0" collapsed="false">
      <c r="A55" s="11" t="n">
        <v>54</v>
      </c>
      <c r="B55" s="11" t="s">
        <v>2</v>
      </c>
      <c r="C55" s="11" t="s">
        <v>868</v>
      </c>
      <c r="D55" s="11" t="s">
        <v>869</v>
      </c>
      <c r="E55" s="20" t="s">
        <v>648</v>
      </c>
      <c r="F55" s="11" t="s">
        <v>692</v>
      </c>
      <c r="G55" s="11" t="s">
        <v>124</v>
      </c>
      <c r="H55" s="11" t="s">
        <v>711</v>
      </c>
      <c r="I55" s="11" t="s">
        <v>124</v>
      </c>
      <c r="J55" s="11" t="s">
        <v>71</v>
      </c>
      <c r="K55" s="13" t="n">
        <v>260</v>
      </c>
      <c r="L55" s="13" t="n">
        <v>390</v>
      </c>
      <c r="M55" s="13" t="n">
        <f aca="false">K55+L55</f>
        <v>650</v>
      </c>
      <c r="N55" s="19" t="n">
        <v>5.2</v>
      </c>
      <c r="O55" s="19" t="n">
        <f aca="false">IF(N55&lt;=35,1,0.25)*M55/(N55+10)*IF(ISNUMBER(SEARCH("KD mismatch",U55)),0.25,1)</f>
        <v>42.7631578947368</v>
      </c>
      <c r="P55" s="20" t="str">
        <f aca="false">IF(N55&lt;=10,"Quick win",IF(N55&lt;=20,"Strong",IF(N55&lt;=35,"Moderate","Stretch")))</f>
        <v>Quick win</v>
      </c>
      <c r="Q55" s="12"/>
      <c r="R55" s="12"/>
      <c r="S55" s="12" t="s">
        <v>870</v>
      </c>
      <c r="T55" s="12"/>
      <c r="U55" s="12"/>
      <c r="V55" s="14" t="s">
        <v>203</v>
      </c>
      <c r="W55" s="14"/>
      <c r="X55" s="15"/>
      <c r="Y55" s="14"/>
      <c r="Z55" s="24"/>
    </row>
    <row r="56" customFormat="false" ht="23.85" hidden="false" customHeight="false" outlineLevel="0" collapsed="false">
      <c r="A56" s="11" t="n">
        <v>55</v>
      </c>
      <c r="B56" s="11" t="s">
        <v>2</v>
      </c>
      <c r="C56" s="11" t="s">
        <v>871</v>
      </c>
      <c r="D56" s="11" t="s">
        <v>872</v>
      </c>
      <c r="E56" s="20" t="s">
        <v>648</v>
      </c>
      <c r="F56" s="11" t="s">
        <v>873</v>
      </c>
      <c r="G56" s="11" t="s">
        <v>270</v>
      </c>
      <c r="H56" s="11" t="s">
        <v>232</v>
      </c>
      <c r="I56" s="11" t="s">
        <v>270</v>
      </c>
      <c r="J56" s="11" t="s">
        <v>71</v>
      </c>
      <c r="K56" s="13" t="n">
        <v>590</v>
      </c>
      <c r="L56" s="13" t="n">
        <v>210</v>
      </c>
      <c r="M56" s="13" t="n">
        <f aca="false">K56+L56</f>
        <v>800</v>
      </c>
      <c r="N56" s="19" t="n">
        <v>8.8</v>
      </c>
      <c r="O56" s="19" t="n">
        <f aca="false">IF(N56&lt;=35,1,0.25)*M56/(N56+10)*IF(ISNUMBER(SEARCH("KD mismatch",U56)),0.25,1)</f>
        <v>42.5531914893617</v>
      </c>
      <c r="P56" s="20" t="str">
        <f aca="false">IF(N56&lt;=10,"Quick win",IF(N56&lt;=20,"Strong",IF(N56&lt;=35,"Moderate","Stretch")))</f>
        <v>Quick win</v>
      </c>
      <c r="Q56" s="12"/>
      <c r="R56" s="12"/>
      <c r="S56" s="12" t="s">
        <v>874</v>
      </c>
      <c r="T56" s="12"/>
      <c r="U56" s="12" t="s">
        <v>667</v>
      </c>
      <c r="V56" s="14" t="s">
        <v>203</v>
      </c>
      <c r="W56" s="14"/>
      <c r="X56" s="15"/>
      <c r="Y56" s="14"/>
      <c r="Z56" s="24"/>
    </row>
    <row r="57" customFormat="false" ht="23.85" hidden="false" customHeight="false" outlineLevel="0" collapsed="false">
      <c r="A57" s="11" t="n">
        <v>56</v>
      </c>
      <c r="B57" s="11" t="s">
        <v>2</v>
      </c>
      <c r="C57" s="11" t="s">
        <v>875</v>
      </c>
      <c r="D57" s="11" t="s">
        <v>876</v>
      </c>
      <c r="E57" s="20" t="s">
        <v>648</v>
      </c>
      <c r="F57" s="11" t="s">
        <v>649</v>
      </c>
      <c r="G57" s="11" t="s">
        <v>318</v>
      </c>
      <c r="H57" s="11" t="s">
        <v>241</v>
      </c>
      <c r="I57" s="11" t="s">
        <v>318</v>
      </c>
      <c r="J57" s="11" t="s">
        <v>71</v>
      </c>
      <c r="K57" s="13" t="n">
        <v>260</v>
      </c>
      <c r="L57" s="13" t="n">
        <v>870</v>
      </c>
      <c r="M57" s="13" t="n">
        <f aca="false">K57+L57</f>
        <v>1130</v>
      </c>
      <c r="N57" s="19" t="n">
        <v>17</v>
      </c>
      <c r="O57" s="19" t="n">
        <f aca="false">IF(N57&lt;=35,1,0.25)*M57/(N57+10)*IF(ISNUMBER(SEARCH("KD mismatch",U57)),0.25,1)</f>
        <v>41.8518518518519</v>
      </c>
      <c r="P57" s="20" t="str">
        <f aca="false">IF(N57&lt;=10,"Quick win",IF(N57&lt;=20,"Strong",IF(N57&lt;=35,"Moderate","Stretch")))</f>
        <v>Strong</v>
      </c>
      <c r="Q57" s="12" t="s">
        <v>877</v>
      </c>
      <c r="R57" s="12"/>
      <c r="S57" s="12" t="s">
        <v>878</v>
      </c>
      <c r="T57" s="12"/>
      <c r="U57" s="12"/>
      <c r="V57" s="14" t="s">
        <v>203</v>
      </c>
      <c r="W57" s="14"/>
      <c r="X57" s="15"/>
      <c r="Y57" s="14"/>
      <c r="Z57" s="24"/>
    </row>
    <row r="58" customFormat="false" ht="23.85" hidden="false" customHeight="false" outlineLevel="0" collapsed="false">
      <c r="A58" s="11" t="n">
        <v>57</v>
      </c>
      <c r="B58" s="11" t="s">
        <v>2</v>
      </c>
      <c r="C58" s="11" t="s">
        <v>879</v>
      </c>
      <c r="D58" s="11" t="s">
        <v>880</v>
      </c>
      <c r="E58" s="20" t="s">
        <v>627</v>
      </c>
      <c r="F58" s="11" t="s">
        <v>881</v>
      </c>
      <c r="G58" s="11" t="s">
        <v>232</v>
      </c>
      <c r="H58" s="11" t="s">
        <v>232</v>
      </c>
      <c r="I58" s="11" t="s">
        <v>232</v>
      </c>
      <c r="J58" s="11" t="s">
        <v>182</v>
      </c>
      <c r="K58" s="13" t="n">
        <v>480</v>
      </c>
      <c r="L58" s="13" t="n">
        <v>210</v>
      </c>
      <c r="M58" s="13" t="n">
        <f aca="false">K58+L58</f>
        <v>690</v>
      </c>
      <c r="N58" s="19" t="n">
        <v>6.5</v>
      </c>
      <c r="O58" s="19" t="n">
        <f aca="false">IF(N58&lt;=35,1,0.25)*M58/(N58+10)*IF(ISNUMBER(SEARCH("KD mismatch",U58)),0.25,1)</f>
        <v>41.8181818181818</v>
      </c>
      <c r="P58" s="20" t="str">
        <f aca="false">IF(N58&lt;=10,"Quick win",IF(N58&lt;=20,"Strong",IF(N58&lt;=35,"Moderate","Stretch")))</f>
        <v>Quick win</v>
      </c>
      <c r="Q58" s="12"/>
      <c r="R58" s="12"/>
      <c r="S58" s="12" t="s">
        <v>882</v>
      </c>
      <c r="T58" s="12"/>
      <c r="U58" s="12"/>
      <c r="V58" s="14" t="s">
        <v>203</v>
      </c>
      <c r="W58" s="14"/>
      <c r="X58" s="15"/>
      <c r="Y58" s="14"/>
      <c r="Z58" s="24"/>
    </row>
    <row r="59" customFormat="false" ht="23.85" hidden="false" customHeight="false" outlineLevel="0" collapsed="false">
      <c r="A59" s="11" t="n">
        <v>58</v>
      </c>
      <c r="B59" s="11" t="s">
        <v>2</v>
      </c>
      <c r="C59" s="11" t="s">
        <v>883</v>
      </c>
      <c r="D59" s="11" t="s">
        <v>884</v>
      </c>
      <c r="E59" s="20" t="s">
        <v>627</v>
      </c>
      <c r="F59" s="11" t="s">
        <v>881</v>
      </c>
      <c r="G59" s="11" t="s">
        <v>231</v>
      </c>
      <c r="H59" s="11" t="s">
        <v>232</v>
      </c>
      <c r="I59" s="11" t="s">
        <v>231</v>
      </c>
      <c r="J59" s="11" t="s">
        <v>182</v>
      </c>
      <c r="K59" s="13" t="n">
        <v>480</v>
      </c>
      <c r="L59" s="13" t="n">
        <v>320</v>
      </c>
      <c r="M59" s="13" t="n">
        <f aca="false">K59+L59</f>
        <v>800</v>
      </c>
      <c r="N59" s="19" t="n">
        <v>9.2</v>
      </c>
      <c r="O59" s="19" t="n">
        <f aca="false">IF(N59&lt;=35,1,0.25)*M59/(N59+10)*IF(ISNUMBER(SEARCH("KD mismatch",U59)),0.25,1)</f>
        <v>41.6666666666667</v>
      </c>
      <c r="P59" s="20" t="str">
        <f aca="false">IF(N59&lt;=10,"Quick win",IF(N59&lt;=20,"Strong",IF(N59&lt;=35,"Moderate","Stretch")))</f>
        <v>Quick win</v>
      </c>
      <c r="Q59" s="12"/>
      <c r="R59" s="12"/>
      <c r="S59" s="12" t="s">
        <v>885</v>
      </c>
      <c r="T59" s="12"/>
      <c r="U59" s="12"/>
      <c r="V59" s="14" t="s">
        <v>203</v>
      </c>
      <c r="W59" s="14"/>
      <c r="X59" s="15"/>
      <c r="Y59" s="14"/>
      <c r="Z59" s="24"/>
    </row>
    <row r="60" customFormat="false" ht="23.85" hidden="false" customHeight="false" outlineLevel="0" collapsed="false">
      <c r="A60" s="11" t="n">
        <v>59</v>
      </c>
      <c r="B60" s="11" t="s">
        <v>2</v>
      </c>
      <c r="C60" s="11" t="s">
        <v>886</v>
      </c>
      <c r="D60" s="11" t="s">
        <v>887</v>
      </c>
      <c r="E60" s="20" t="s">
        <v>648</v>
      </c>
      <c r="F60" s="11" t="s">
        <v>649</v>
      </c>
      <c r="G60" s="11" t="s">
        <v>256</v>
      </c>
      <c r="H60" s="11" t="s">
        <v>257</v>
      </c>
      <c r="I60" s="11" t="s">
        <v>256</v>
      </c>
      <c r="J60" s="11" t="s">
        <v>71</v>
      </c>
      <c r="K60" s="13" t="n">
        <v>720</v>
      </c>
      <c r="L60" s="13" t="n">
        <v>310</v>
      </c>
      <c r="M60" s="13" t="n">
        <f aca="false">K60+L60</f>
        <v>1030</v>
      </c>
      <c r="N60" s="19" t="n">
        <v>14.9</v>
      </c>
      <c r="O60" s="19" t="n">
        <f aca="false">IF(N60&lt;=35,1,0.25)*M60/(N60+10)*IF(ISNUMBER(SEARCH("KD mismatch",U60)),0.25,1)</f>
        <v>41.3654618473896</v>
      </c>
      <c r="P60" s="20" t="str">
        <f aca="false">IF(N60&lt;=10,"Quick win",IF(N60&lt;=20,"Strong",IF(N60&lt;=35,"Moderate","Stretch")))</f>
        <v>Strong</v>
      </c>
      <c r="Q60" s="12" t="s">
        <v>888</v>
      </c>
      <c r="R60" s="12"/>
      <c r="S60" s="12" t="s">
        <v>889</v>
      </c>
      <c r="T60" s="12"/>
      <c r="U60" s="12"/>
      <c r="V60" s="14" t="s">
        <v>203</v>
      </c>
      <c r="W60" s="14"/>
      <c r="X60" s="15"/>
      <c r="Y60" s="14"/>
      <c r="Z60" s="24"/>
    </row>
    <row r="61" customFormat="false" ht="23.85" hidden="false" customHeight="false" outlineLevel="0" collapsed="false">
      <c r="A61" s="11" t="n">
        <v>60</v>
      </c>
      <c r="B61" s="11" t="s">
        <v>2</v>
      </c>
      <c r="C61" s="11" t="s">
        <v>890</v>
      </c>
      <c r="D61" s="11" t="s">
        <v>891</v>
      </c>
      <c r="E61" s="20" t="s">
        <v>627</v>
      </c>
      <c r="F61" s="11" t="s">
        <v>642</v>
      </c>
      <c r="G61" s="11" t="s">
        <v>892</v>
      </c>
      <c r="H61" s="11" t="s">
        <v>228</v>
      </c>
      <c r="I61" s="11" t="s">
        <v>228</v>
      </c>
      <c r="J61" s="11" t="s">
        <v>56</v>
      </c>
      <c r="K61" s="13" t="n">
        <v>30</v>
      </c>
      <c r="L61" s="13" t="n">
        <v>590</v>
      </c>
      <c r="M61" s="13" t="n">
        <f aca="false">K61+L61</f>
        <v>620</v>
      </c>
      <c r="N61" s="19" t="n">
        <v>5.1</v>
      </c>
      <c r="O61" s="19" t="n">
        <f aca="false">IF(N61&lt;=35,1,0.25)*M61/(N61+10)*IF(ISNUMBER(SEARCH("KD mismatch",U61)),0.25,1)</f>
        <v>41.0596026490066</v>
      </c>
      <c r="P61" s="20" t="str">
        <f aca="false">IF(N61&lt;=10,"Quick win",IF(N61&lt;=20,"Strong",IF(N61&lt;=35,"Moderate","Stretch")))</f>
        <v>Quick win</v>
      </c>
      <c r="Q61" s="12"/>
      <c r="R61" s="12"/>
      <c r="S61" s="12" t="s">
        <v>893</v>
      </c>
      <c r="T61" s="12"/>
      <c r="U61" s="12"/>
      <c r="V61" s="14" t="s">
        <v>203</v>
      </c>
      <c r="W61" s="14"/>
      <c r="X61" s="15"/>
      <c r="Y61" s="14"/>
      <c r="Z61" s="24"/>
    </row>
    <row r="62" customFormat="false" ht="23.85" hidden="false" customHeight="false" outlineLevel="0" collapsed="false">
      <c r="A62" s="11" t="n">
        <v>61</v>
      </c>
      <c r="B62" s="11" t="s">
        <v>2</v>
      </c>
      <c r="C62" s="11" t="s">
        <v>894</v>
      </c>
      <c r="D62" s="11" t="s">
        <v>895</v>
      </c>
      <c r="E62" s="20" t="s">
        <v>627</v>
      </c>
      <c r="F62" s="11" t="s">
        <v>642</v>
      </c>
      <c r="G62" s="11" t="s">
        <v>70</v>
      </c>
      <c r="H62" s="11" t="s">
        <v>650</v>
      </c>
      <c r="I62" s="11" t="s">
        <v>70</v>
      </c>
      <c r="J62" s="11" t="s">
        <v>56</v>
      </c>
      <c r="K62" s="13" t="n">
        <v>20</v>
      </c>
      <c r="L62" s="13" t="n">
        <v>590</v>
      </c>
      <c r="M62" s="13" t="n">
        <f aca="false">K62+L62</f>
        <v>610</v>
      </c>
      <c r="N62" s="19" t="n">
        <v>5</v>
      </c>
      <c r="O62" s="19" t="n">
        <f aca="false">IF(N62&lt;=35,1,0.25)*M62/(N62+10)*IF(ISNUMBER(SEARCH("KD mismatch",U62)),0.25,1)</f>
        <v>40.6666666666667</v>
      </c>
      <c r="P62" s="20" t="str">
        <f aca="false">IF(N62&lt;=10,"Quick win",IF(N62&lt;=20,"Strong",IF(N62&lt;=35,"Moderate","Stretch")))</f>
        <v>Quick win</v>
      </c>
      <c r="Q62" s="12"/>
      <c r="R62" s="12"/>
      <c r="S62" s="12" t="s">
        <v>720</v>
      </c>
      <c r="T62" s="12"/>
      <c r="U62" s="12" t="s">
        <v>667</v>
      </c>
      <c r="V62" s="14" t="s">
        <v>203</v>
      </c>
      <c r="W62" s="14"/>
      <c r="X62" s="15"/>
      <c r="Y62" s="14"/>
      <c r="Z62" s="24"/>
    </row>
    <row r="63" customFormat="false" ht="23.85" hidden="false" customHeight="false" outlineLevel="0" collapsed="false">
      <c r="A63" s="11" t="n">
        <v>62</v>
      </c>
      <c r="B63" s="11" t="s">
        <v>2</v>
      </c>
      <c r="C63" s="11" t="s">
        <v>896</v>
      </c>
      <c r="D63" s="11" t="s">
        <v>897</v>
      </c>
      <c r="E63" s="20" t="s">
        <v>648</v>
      </c>
      <c r="F63" s="11" t="s">
        <v>700</v>
      </c>
      <c r="G63" s="11" t="s">
        <v>227</v>
      </c>
      <c r="H63" s="11" t="s">
        <v>228</v>
      </c>
      <c r="I63" s="11" t="s">
        <v>227</v>
      </c>
      <c r="J63" s="11" t="s">
        <v>143</v>
      </c>
      <c r="K63" s="13" t="n">
        <v>480</v>
      </c>
      <c r="L63" s="13" t="n">
        <v>260</v>
      </c>
      <c r="M63" s="13" t="n">
        <f aca="false">K63+L63</f>
        <v>740</v>
      </c>
      <c r="N63" s="19" t="n">
        <v>8.2</v>
      </c>
      <c r="O63" s="19" t="n">
        <f aca="false">IF(N63&lt;=35,1,0.25)*M63/(N63+10)*IF(ISNUMBER(SEARCH("KD mismatch",U63)),0.25,1)</f>
        <v>40.6593406593407</v>
      </c>
      <c r="P63" s="20" t="str">
        <f aca="false">IF(N63&lt;=10,"Quick win",IF(N63&lt;=20,"Strong",IF(N63&lt;=35,"Moderate","Stretch")))</f>
        <v>Quick win</v>
      </c>
      <c r="Q63" s="12"/>
      <c r="R63" s="12"/>
      <c r="S63" s="12" t="s">
        <v>898</v>
      </c>
      <c r="T63" s="12"/>
      <c r="U63" s="12"/>
      <c r="V63" s="14" t="s">
        <v>203</v>
      </c>
      <c r="W63" s="14"/>
      <c r="X63" s="15"/>
      <c r="Y63" s="14"/>
      <c r="Z63" s="24"/>
    </row>
    <row r="64" customFormat="false" ht="23.85" hidden="false" customHeight="false" outlineLevel="0" collapsed="false">
      <c r="A64" s="11" t="n">
        <v>63</v>
      </c>
      <c r="B64" s="11" t="s">
        <v>2</v>
      </c>
      <c r="C64" s="11" t="s">
        <v>899</v>
      </c>
      <c r="D64" s="11" t="s">
        <v>900</v>
      </c>
      <c r="E64" s="20" t="s">
        <v>648</v>
      </c>
      <c r="F64" s="11" t="s">
        <v>700</v>
      </c>
      <c r="G64" s="11" t="s">
        <v>327</v>
      </c>
      <c r="H64" s="11" t="s">
        <v>822</v>
      </c>
      <c r="I64" s="11" t="s">
        <v>327</v>
      </c>
      <c r="J64" s="11" t="s">
        <v>143</v>
      </c>
      <c r="K64" s="13" t="n">
        <v>260</v>
      </c>
      <c r="L64" s="13" t="n">
        <v>390</v>
      </c>
      <c r="M64" s="13" t="n">
        <f aca="false">K64+L64</f>
        <v>650</v>
      </c>
      <c r="N64" s="19" t="n">
        <v>6</v>
      </c>
      <c r="O64" s="19" t="n">
        <f aca="false">IF(N64&lt;=35,1,0.25)*M64/(N64+10)*IF(ISNUMBER(SEARCH("KD mismatch",U64)),0.25,1)</f>
        <v>40.625</v>
      </c>
      <c r="P64" s="20" t="str">
        <f aca="false">IF(N64&lt;=10,"Quick win",IF(N64&lt;=20,"Strong",IF(N64&lt;=35,"Moderate","Stretch")))</f>
        <v>Quick win</v>
      </c>
      <c r="Q64" s="12"/>
      <c r="R64" s="12"/>
      <c r="S64" s="12" t="s">
        <v>901</v>
      </c>
      <c r="T64" s="12"/>
      <c r="U64" s="12"/>
      <c r="V64" s="14" t="s">
        <v>203</v>
      </c>
      <c r="W64" s="14"/>
      <c r="X64" s="15"/>
      <c r="Y64" s="14"/>
      <c r="Z64" s="24"/>
    </row>
    <row r="65" customFormat="false" ht="23.85" hidden="false" customHeight="false" outlineLevel="0" collapsed="false">
      <c r="A65" s="11" t="n">
        <v>64</v>
      </c>
      <c r="B65" s="11" t="s">
        <v>2</v>
      </c>
      <c r="C65" s="11" t="s">
        <v>902</v>
      </c>
      <c r="D65" s="11" t="s">
        <v>903</v>
      </c>
      <c r="E65" s="20" t="s">
        <v>648</v>
      </c>
      <c r="F65" s="11" t="s">
        <v>649</v>
      </c>
      <c r="G65" s="11" t="s">
        <v>270</v>
      </c>
      <c r="H65" s="11" t="s">
        <v>232</v>
      </c>
      <c r="I65" s="11" t="s">
        <v>270</v>
      </c>
      <c r="J65" s="11" t="s">
        <v>71</v>
      </c>
      <c r="K65" s="13" t="n">
        <v>0</v>
      </c>
      <c r="L65" s="13" t="n">
        <v>710</v>
      </c>
      <c r="M65" s="13" t="n">
        <f aca="false">K65+L65</f>
        <v>710</v>
      </c>
      <c r="N65" s="19" t="n">
        <v>7.7</v>
      </c>
      <c r="O65" s="19" t="n">
        <f aca="false">IF(N65&lt;=35,1,0.25)*M65/(N65+10)*IF(ISNUMBER(SEARCH("KD mismatch",U65)),0.25,1)</f>
        <v>40.1129943502825</v>
      </c>
      <c r="P65" s="20" t="str">
        <f aca="false">IF(N65&lt;=10,"Quick win",IF(N65&lt;=20,"Strong",IF(N65&lt;=35,"Moderate","Stretch")))</f>
        <v>Quick win</v>
      </c>
      <c r="Q65" s="12" t="s">
        <v>904</v>
      </c>
      <c r="R65" s="12" t="s">
        <v>905</v>
      </c>
      <c r="S65" s="12" t="s">
        <v>906</v>
      </c>
      <c r="T65" s="12"/>
      <c r="U65" s="12"/>
      <c r="V65" s="14" t="s">
        <v>203</v>
      </c>
      <c r="W65" s="14"/>
      <c r="X65" s="15"/>
      <c r="Y65" s="14"/>
      <c r="Z65" s="24"/>
    </row>
    <row r="66" customFormat="false" ht="23.85" hidden="false" customHeight="false" outlineLevel="0" collapsed="false">
      <c r="A66" s="11" t="n">
        <v>65</v>
      </c>
      <c r="B66" s="11" t="s">
        <v>2</v>
      </c>
      <c r="C66" s="11" t="s">
        <v>907</v>
      </c>
      <c r="D66" s="11" t="s">
        <v>908</v>
      </c>
      <c r="E66" s="20" t="s">
        <v>627</v>
      </c>
      <c r="F66" s="11" t="s">
        <v>642</v>
      </c>
      <c r="G66" s="11" t="s">
        <v>263</v>
      </c>
      <c r="H66" s="11" t="s">
        <v>204</v>
      </c>
      <c r="I66" s="11" t="s">
        <v>263</v>
      </c>
      <c r="J66" s="11" t="s">
        <v>56</v>
      </c>
      <c r="K66" s="13" t="n">
        <v>880</v>
      </c>
      <c r="L66" s="13" t="n">
        <v>0</v>
      </c>
      <c r="M66" s="13" t="n">
        <f aca="false">K66+L66</f>
        <v>880</v>
      </c>
      <c r="N66" s="19" t="n">
        <v>12</v>
      </c>
      <c r="O66" s="19" t="n">
        <f aca="false">IF(N66&lt;=35,1,0.25)*M66/(N66+10)*IF(ISNUMBER(SEARCH("KD mismatch",U66)),0.25,1)</f>
        <v>40</v>
      </c>
      <c r="P66" s="20" t="str">
        <f aca="false">IF(N66&lt;=10,"Quick win",IF(N66&lt;=20,"Strong",IF(N66&lt;=35,"Moderate","Stretch")))</f>
        <v>Strong</v>
      </c>
      <c r="Q66" s="12"/>
      <c r="R66" s="12" t="s">
        <v>909</v>
      </c>
      <c r="S66" s="12" t="s">
        <v>910</v>
      </c>
      <c r="T66" s="12" t="s">
        <v>680</v>
      </c>
      <c r="U66" s="12"/>
      <c r="V66" s="14" t="s">
        <v>203</v>
      </c>
      <c r="W66" s="14"/>
      <c r="X66" s="15"/>
      <c r="Y66" s="14"/>
      <c r="Z66" s="24"/>
    </row>
    <row r="67" customFormat="false" ht="23.85" hidden="false" customHeight="false" outlineLevel="0" collapsed="false">
      <c r="A67" s="11" t="n">
        <v>66</v>
      </c>
      <c r="B67" s="11" t="s">
        <v>2</v>
      </c>
      <c r="C67" s="11" t="s">
        <v>911</v>
      </c>
      <c r="D67" s="11" t="s">
        <v>912</v>
      </c>
      <c r="E67" s="20" t="s">
        <v>648</v>
      </c>
      <c r="F67" s="11" t="s">
        <v>649</v>
      </c>
      <c r="G67" s="11" t="s">
        <v>913</v>
      </c>
      <c r="H67" s="11" t="s">
        <v>214</v>
      </c>
      <c r="I67" s="11" t="s">
        <v>214</v>
      </c>
      <c r="J67" s="11" t="s">
        <v>71</v>
      </c>
      <c r="K67" s="13" t="n">
        <v>990</v>
      </c>
      <c r="L67" s="13" t="n">
        <v>0</v>
      </c>
      <c r="M67" s="13" t="n">
        <f aca="false">K67+L67</f>
        <v>990</v>
      </c>
      <c r="N67" s="19" t="n">
        <v>15</v>
      </c>
      <c r="O67" s="19" t="n">
        <f aca="false">IF(N67&lt;=35,1,0.25)*M67/(N67+10)*IF(ISNUMBER(SEARCH("KD mismatch",U67)),0.25,1)</f>
        <v>39.6</v>
      </c>
      <c r="P67" s="20" t="str">
        <f aca="false">IF(N67&lt;=10,"Quick win",IF(N67&lt;=20,"Strong",IF(N67&lt;=35,"Moderate","Stretch")))</f>
        <v>Strong</v>
      </c>
      <c r="Q67" s="12"/>
      <c r="R67" s="12"/>
      <c r="S67" s="12" t="s">
        <v>914</v>
      </c>
      <c r="T67" s="12"/>
      <c r="U67" s="12"/>
      <c r="V67" s="14" t="s">
        <v>203</v>
      </c>
      <c r="W67" s="14"/>
      <c r="X67" s="15"/>
      <c r="Y67" s="14"/>
      <c r="Z67" s="24"/>
    </row>
    <row r="68" customFormat="false" ht="23.85" hidden="false" customHeight="false" outlineLevel="0" collapsed="false">
      <c r="A68" s="11" t="n">
        <v>67</v>
      </c>
      <c r="B68" s="11" t="s">
        <v>2</v>
      </c>
      <c r="C68" s="11" t="s">
        <v>915</v>
      </c>
      <c r="D68" s="11" t="s">
        <v>916</v>
      </c>
      <c r="E68" s="20" t="s">
        <v>627</v>
      </c>
      <c r="F68" s="11" t="s">
        <v>642</v>
      </c>
      <c r="G68" s="11" t="s">
        <v>917</v>
      </c>
      <c r="H68" s="11" t="s">
        <v>196</v>
      </c>
      <c r="I68" s="11" t="s">
        <v>196</v>
      </c>
      <c r="J68" s="11" t="s">
        <v>56</v>
      </c>
      <c r="K68" s="13" t="n">
        <v>0</v>
      </c>
      <c r="L68" s="13" t="n">
        <v>590</v>
      </c>
      <c r="M68" s="13" t="n">
        <f aca="false">K68+L68</f>
        <v>590</v>
      </c>
      <c r="N68" s="19" t="n">
        <v>5</v>
      </c>
      <c r="O68" s="19" t="n">
        <f aca="false">IF(N68&lt;=35,1,0.25)*M68/(N68+10)*IF(ISNUMBER(SEARCH("KD mismatch",U68)),0.25,1)</f>
        <v>39.3333333333333</v>
      </c>
      <c r="P68" s="20" t="str">
        <f aca="false">IF(N68&lt;=10,"Quick win",IF(N68&lt;=20,"Strong",IF(N68&lt;=35,"Moderate","Stretch")))</f>
        <v>Quick win</v>
      </c>
      <c r="Q68" s="12"/>
      <c r="R68" s="12"/>
      <c r="S68" s="12" t="s">
        <v>918</v>
      </c>
      <c r="T68" s="12" t="s">
        <v>818</v>
      </c>
      <c r="U68" s="12"/>
      <c r="V68" s="14" t="s">
        <v>203</v>
      </c>
      <c r="W68" s="14"/>
      <c r="X68" s="15"/>
      <c r="Y68" s="14"/>
      <c r="Z68" s="24"/>
    </row>
    <row r="69" customFormat="false" ht="23.85" hidden="false" customHeight="false" outlineLevel="0" collapsed="false">
      <c r="A69" s="11" t="n">
        <v>68</v>
      </c>
      <c r="B69" s="11" t="s">
        <v>2</v>
      </c>
      <c r="C69" s="11" t="s">
        <v>919</v>
      </c>
      <c r="D69" s="11" t="s">
        <v>920</v>
      </c>
      <c r="E69" s="20" t="s">
        <v>648</v>
      </c>
      <c r="F69" s="11" t="s">
        <v>649</v>
      </c>
      <c r="G69" s="11" t="s">
        <v>373</v>
      </c>
      <c r="H69" s="11" t="s">
        <v>224</v>
      </c>
      <c r="I69" s="11" t="s">
        <v>373</v>
      </c>
      <c r="J69" s="11" t="s">
        <v>71</v>
      </c>
      <c r="K69" s="13" t="n">
        <v>510</v>
      </c>
      <c r="L69" s="13" t="n">
        <v>410</v>
      </c>
      <c r="M69" s="13" t="n">
        <f aca="false">K69+L69</f>
        <v>920</v>
      </c>
      <c r="N69" s="19" t="n">
        <v>13.5</v>
      </c>
      <c r="O69" s="19" t="n">
        <f aca="false">IF(N69&lt;=35,1,0.25)*M69/(N69+10)*IF(ISNUMBER(SEARCH("KD mismatch",U69)),0.25,1)</f>
        <v>39.1489361702128</v>
      </c>
      <c r="P69" s="20" t="str">
        <f aca="false">IF(N69&lt;=10,"Quick win",IF(N69&lt;=20,"Strong",IF(N69&lt;=35,"Moderate","Stretch")))</f>
        <v>Strong</v>
      </c>
      <c r="Q69" s="12" t="s">
        <v>921</v>
      </c>
      <c r="R69" s="12"/>
      <c r="S69" s="12" t="s">
        <v>922</v>
      </c>
      <c r="T69" s="12"/>
      <c r="U69" s="12"/>
      <c r="V69" s="14" t="s">
        <v>203</v>
      </c>
      <c r="W69" s="14"/>
      <c r="X69" s="15"/>
      <c r="Y69" s="14"/>
      <c r="Z69" s="24"/>
    </row>
    <row r="70" customFormat="false" ht="23.85" hidden="false" customHeight="false" outlineLevel="0" collapsed="false">
      <c r="A70" s="11" t="n">
        <v>69</v>
      </c>
      <c r="B70" s="11" t="s">
        <v>2</v>
      </c>
      <c r="C70" s="11" t="s">
        <v>923</v>
      </c>
      <c r="D70" s="11" t="s">
        <v>924</v>
      </c>
      <c r="E70" s="20" t="s">
        <v>648</v>
      </c>
      <c r="F70" s="11" t="s">
        <v>700</v>
      </c>
      <c r="G70" s="11" t="s">
        <v>290</v>
      </c>
      <c r="H70" s="11" t="s">
        <v>214</v>
      </c>
      <c r="I70" s="11" t="s">
        <v>290</v>
      </c>
      <c r="J70" s="11" t="s">
        <v>143</v>
      </c>
      <c r="K70" s="13" t="n">
        <v>540</v>
      </c>
      <c r="L70" s="13" t="n">
        <v>700</v>
      </c>
      <c r="M70" s="13" t="n">
        <f aca="false">K70+L70</f>
        <v>1240</v>
      </c>
      <c r="N70" s="19" t="n">
        <v>22.1</v>
      </c>
      <c r="O70" s="19" t="n">
        <f aca="false">IF(N70&lt;=35,1,0.25)*M70/(N70+10)*IF(ISNUMBER(SEARCH("KD mismatch",U70)),0.25,1)</f>
        <v>38.6292834890966</v>
      </c>
      <c r="P70" s="20" t="str">
        <f aca="false">IF(N70&lt;=10,"Quick win",IF(N70&lt;=20,"Strong",IF(N70&lt;=35,"Moderate","Stretch")))</f>
        <v>Moderate</v>
      </c>
      <c r="Q70" s="12" t="s">
        <v>925</v>
      </c>
      <c r="R70" s="12"/>
      <c r="S70" s="12" t="s">
        <v>926</v>
      </c>
      <c r="T70" s="12" t="s">
        <v>927</v>
      </c>
      <c r="U70" s="12"/>
      <c r="V70" s="14" t="s">
        <v>203</v>
      </c>
      <c r="W70" s="14"/>
      <c r="X70" s="15"/>
      <c r="Y70" s="14"/>
      <c r="Z70" s="24"/>
    </row>
    <row r="71" customFormat="false" ht="23.85" hidden="false" customHeight="false" outlineLevel="0" collapsed="false">
      <c r="A71" s="11" t="n">
        <v>70</v>
      </c>
      <c r="B71" s="11" t="s">
        <v>2</v>
      </c>
      <c r="C71" s="11" t="s">
        <v>928</v>
      </c>
      <c r="D71" s="11" t="s">
        <v>929</v>
      </c>
      <c r="E71" s="20" t="s">
        <v>648</v>
      </c>
      <c r="F71" s="11" t="s">
        <v>850</v>
      </c>
      <c r="G71" s="11" t="s">
        <v>357</v>
      </c>
      <c r="H71" s="11" t="s">
        <v>214</v>
      </c>
      <c r="I71" s="11" t="s">
        <v>357</v>
      </c>
      <c r="J71" s="11" t="s">
        <v>71</v>
      </c>
      <c r="K71" s="13" t="n">
        <v>590</v>
      </c>
      <c r="L71" s="13" t="n">
        <v>40</v>
      </c>
      <c r="M71" s="13" t="n">
        <f aca="false">K71+L71</f>
        <v>630</v>
      </c>
      <c r="N71" s="19" t="n">
        <v>6.5</v>
      </c>
      <c r="O71" s="19" t="n">
        <f aca="false">IF(N71&lt;=35,1,0.25)*M71/(N71+10)*IF(ISNUMBER(SEARCH("KD mismatch",U71)),0.25,1)</f>
        <v>38.1818181818182</v>
      </c>
      <c r="P71" s="20" t="str">
        <f aca="false">IF(N71&lt;=10,"Quick win",IF(N71&lt;=20,"Strong",IF(N71&lt;=35,"Moderate","Stretch")))</f>
        <v>Quick win</v>
      </c>
      <c r="Q71" s="12"/>
      <c r="R71" s="12"/>
      <c r="S71" s="12" t="s">
        <v>930</v>
      </c>
      <c r="T71" s="12" t="s">
        <v>931</v>
      </c>
      <c r="U71" s="12"/>
      <c r="V71" s="14" t="s">
        <v>203</v>
      </c>
      <c r="W71" s="14"/>
      <c r="X71" s="15"/>
      <c r="Y71" s="14"/>
      <c r="Z71" s="24"/>
    </row>
    <row r="72" customFormat="false" ht="23.85" hidden="false" customHeight="false" outlineLevel="0" collapsed="false">
      <c r="A72" s="11" t="n">
        <v>71</v>
      </c>
      <c r="B72" s="11" t="s">
        <v>2</v>
      </c>
      <c r="C72" s="11" t="s">
        <v>932</v>
      </c>
      <c r="D72" s="11" t="s">
        <v>933</v>
      </c>
      <c r="E72" s="20" t="s">
        <v>627</v>
      </c>
      <c r="F72" s="11" t="s">
        <v>642</v>
      </c>
      <c r="G72" s="11" t="s">
        <v>282</v>
      </c>
      <c r="H72" s="11" t="s">
        <v>283</v>
      </c>
      <c r="I72" s="11" t="s">
        <v>282</v>
      </c>
      <c r="J72" s="11" t="s">
        <v>56</v>
      </c>
      <c r="K72" s="13" t="n">
        <v>590</v>
      </c>
      <c r="L72" s="13" t="n">
        <v>20</v>
      </c>
      <c r="M72" s="13" t="n">
        <f aca="false">K72+L72</f>
        <v>610</v>
      </c>
      <c r="N72" s="19" t="n">
        <v>6</v>
      </c>
      <c r="O72" s="19" t="n">
        <f aca="false">IF(N72&lt;=35,1,0.25)*M72/(N72+10)*IF(ISNUMBER(SEARCH("KD mismatch",U72)),0.25,1)</f>
        <v>38.125</v>
      </c>
      <c r="P72" s="20" t="str">
        <f aca="false">IF(N72&lt;=10,"Quick win",IF(N72&lt;=20,"Strong",IF(N72&lt;=35,"Moderate","Stretch")))</f>
        <v>Quick win</v>
      </c>
      <c r="Q72" s="12"/>
      <c r="R72" s="12"/>
      <c r="S72" s="12" t="s">
        <v>934</v>
      </c>
      <c r="T72" s="12" t="s">
        <v>856</v>
      </c>
      <c r="U72" s="12"/>
      <c r="V72" s="14" t="s">
        <v>203</v>
      </c>
      <c r="W72" s="14"/>
      <c r="X72" s="15"/>
      <c r="Y72" s="14"/>
      <c r="Z72" s="24"/>
    </row>
    <row r="73" customFormat="false" ht="35.05" hidden="false" customHeight="false" outlineLevel="0" collapsed="false">
      <c r="A73" s="11" t="n">
        <v>72</v>
      </c>
      <c r="B73" s="11" t="s">
        <v>2</v>
      </c>
      <c r="C73" s="11" t="s">
        <v>935</v>
      </c>
      <c r="D73" s="11" t="s">
        <v>936</v>
      </c>
      <c r="E73" s="20" t="s">
        <v>627</v>
      </c>
      <c r="F73" s="11" t="s">
        <v>937</v>
      </c>
      <c r="G73" s="11" t="s">
        <v>106</v>
      </c>
      <c r="H73" s="11" t="s">
        <v>196</v>
      </c>
      <c r="I73" s="11" t="s">
        <v>106</v>
      </c>
      <c r="J73" s="11" t="s">
        <v>56</v>
      </c>
      <c r="K73" s="13" t="n">
        <v>170</v>
      </c>
      <c r="L73" s="13" t="n">
        <v>480</v>
      </c>
      <c r="M73" s="13" t="n">
        <f aca="false">K73+L73</f>
        <v>650</v>
      </c>
      <c r="N73" s="19" t="n">
        <v>7.1</v>
      </c>
      <c r="O73" s="19" t="n">
        <f aca="false">IF(N73&lt;=35,1,0.25)*M73/(N73+10)*IF(ISNUMBER(SEARCH("KD mismatch",U73)),0.25,1)</f>
        <v>38.0116959064328</v>
      </c>
      <c r="P73" s="20" t="str">
        <f aca="false">IF(N73&lt;=10,"Quick win",IF(N73&lt;=20,"Strong",IF(N73&lt;=35,"Moderate","Stretch")))</f>
        <v>Quick win</v>
      </c>
      <c r="Q73" s="12"/>
      <c r="R73" s="12"/>
      <c r="S73" s="12" t="s">
        <v>938</v>
      </c>
      <c r="T73" s="12" t="s">
        <v>939</v>
      </c>
      <c r="U73" s="12"/>
      <c r="V73" s="14" t="s">
        <v>203</v>
      </c>
      <c r="W73" s="14"/>
      <c r="X73" s="15"/>
      <c r="Y73" s="14"/>
      <c r="Z73" s="24"/>
    </row>
    <row r="74" customFormat="false" ht="23.85" hidden="false" customHeight="false" outlineLevel="0" collapsed="false">
      <c r="A74" s="11" t="n">
        <v>73</v>
      </c>
      <c r="B74" s="11" t="s">
        <v>2</v>
      </c>
      <c r="C74" s="11" t="s">
        <v>940</v>
      </c>
      <c r="D74" s="11" t="s">
        <v>941</v>
      </c>
      <c r="E74" s="20" t="s">
        <v>648</v>
      </c>
      <c r="F74" s="11" t="s">
        <v>700</v>
      </c>
      <c r="G74" s="11" t="s">
        <v>235</v>
      </c>
      <c r="H74" s="11" t="s">
        <v>687</v>
      </c>
      <c r="I74" s="11" t="s">
        <v>235</v>
      </c>
      <c r="J74" s="11" t="s">
        <v>143</v>
      </c>
      <c r="K74" s="13" t="n">
        <v>570</v>
      </c>
      <c r="L74" s="13" t="n">
        <v>0</v>
      </c>
      <c r="M74" s="13" t="n">
        <f aca="false">K74+L74</f>
        <v>570</v>
      </c>
      <c r="N74" s="19" t="n">
        <v>5</v>
      </c>
      <c r="O74" s="19" t="n">
        <f aca="false">IF(N74&lt;=35,1,0.25)*M74/(N74+10)*IF(ISNUMBER(SEARCH("KD mismatch",U74)),0.25,1)</f>
        <v>38</v>
      </c>
      <c r="P74" s="20" t="str">
        <f aca="false">IF(N74&lt;=10,"Quick win",IF(N74&lt;=20,"Strong",IF(N74&lt;=35,"Moderate","Stretch")))</f>
        <v>Quick win</v>
      </c>
      <c r="Q74" s="12" t="s">
        <v>942</v>
      </c>
      <c r="R74" s="12"/>
      <c r="S74" s="12" t="s">
        <v>943</v>
      </c>
      <c r="T74" s="12"/>
      <c r="U74" s="12"/>
      <c r="V74" s="14" t="s">
        <v>203</v>
      </c>
      <c r="W74" s="14"/>
      <c r="X74" s="15"/>
      <c r="Y74" s="14"/>
      <c r="Z74" s="24"/>
    </row>
    <row r="75" customFormat="false" ht="23.85" hidden="false" customHeight="false" outlineLevel="0" collapsed="false">
      <c r="A75" s="11" t="n">
        <v>74</v>
      </c>
      <c r="B75" s="11" t="s">
        <v>2</v>
      </c>
      <c r="C75" s="11" t="s">
        <v>944</v>
      </c>
      <c r="D75" s="11" t="s">
        <v>945</v>
      </c>
      <c r="E75" s="20" t="s">
        <v>648</v>
      </c>
      <c r="F75" s="11" t="s">
        <v>946</v>
      </c>
      <c r="G75" s="11" t="s">
        <v>256</v>
      </c>
      <c r="H75" s="11" t="s">
        <v>257</v>
      </c>
      <c r="I75" s="11" t="s">
        <v>256</v>
      </c>
      <c r="J75" s="11" t="s">
        <v>71</v>
      </c>
      <c r="K75" s="13" t="n">
        <v>390</v>
      </c>
      <c r="L75" s="13" t="n">
        <v>210</v>
      </c>
      <c r="M75" s="13" t="n">
        <f aca="false">K75+L75</f>
        <v>600</v>
      </c>
      <c r="N75" s="19" t="n">
        <v>6</v>
      </c>
      <c r="O75" s="19" t="n">
        <f aca="false">IF(N75&lt;=35,1,0.25)*M75/(N75+10)*IF(ISNUMBER(SEARCH("KD mismatch",U75)),0.25,1)</f>
        <v>37.5</v>
      </c>
      <c r="P75" s="20" t="str">
        <f aca="false">IF(N75&lt;=10,"Quick win",IF(N75&lt;=20,"Strong",IF(N75&lt;=35,"Moderate","Stretch")))</f>
        <v>Quick win</v>
      </c>
      <c r="Q75" s="12"/>
      <c r="R75" s="12"/>
      <c r="S75" s="12" t="s">
        <v>947</v>
      </c>
      <c r="T75" s="12"/>
      <c r="U75" s="12"/>
      <c r="V75" s="14" t="s">
        <v>203</v>
      </c>
      <c r="W75" s="14"/>
      <c r="X75" s="15"/>
      <c r="Y75" s="14"/>
      <c r="Z75" s="24"/>
    </row>
    <row r="76" customFormat="false" ht="23.85" hidden="false" customHeight="false" outlineLevel="0" collapsed="false">
      <c r="A76" s="11" t="n">
        <v>75</v>
      </c>
      <c r="B76" s="11" t="s">
        <v>2</v>
      </c>
      <c r="C76" s="11" t="s">
        <v>948</v>
      </c>
      <c r="D76" s="11" t="s">
        <v>949</v>
      </c>
      <c r="E76" s="20" t="s">
        <v>648</v>
      </c>
      <c r="F76" s="11" t="s">
        <v>692</v>
      </c>
      <c r="G76" s="11" t="s">
        <v>270</v>
      </c>
      <c r="H76" s="11" t="s">
        <v>232</v>
      </c>
      <c r="I76" s="11" t="s">
        <v>270</v>
      </c>
      <c r="J76" s="11" t="s">
        <v>71</v>
      </c>
      <c r="K76" s="13" t="n">
        <v>590</v>
      </c>
      <c r="L76" s="13" t="n">
        <v>0</v>
      </c>
      <c r="M76" s="13" t="n">
        <f aca="false">K76+L76</f>
        <v>590</v>
      </c>
      <c r="N76" s="19" t="n">
        <v>6</v>
      </c>
      <c r="O76" s="19" t="n">
        <f aca="false">IF(N76&lt;=35,1,0.25)*M76/(N76+10)*IF(ISNUMBER(SEARCH("KD mismatch",U76)),0.25,1)</f>
        <v>36.875</v>
      </c>
      <c r="P76" s="20" t="str">
        <f aca="false">IF(N76&lt;=10,"Quick win",IF(N76&lt;=20,"Strong",IF(N76&lt;=35,"Moderate","Stretch")))</f>
        <v>Quick win</v>
      </c>
      <c r="Q76" s="12"/>
      <c r="R76" s="12"/>
      <c r="S76" s="12" t="s">
        <v>950</v>
      </c>
      <c r="T76" s="12"/>
      <c r="U76" s="12" t="s">
        <v>667</v>
      </c>
      <c r="V76" s="14" t="s">
        <v>203</v>
      </c>
      <c r="W76" s="14"/>
      <c r="X76" s="15"/>
      <c r="Y76" s="14"/>
      <c r="Z76" s="24"/>
    </row>
    <row r="77" customFormat="false" ht="23.85" hidden="false" customHeight="false" outlineLevel="0" collapsed="false">
      <c r="A77" s="11" t="n">
        <v>76</v>
      </c>
      <c r="B77" s="11" t="s">
        <v>2</v>
      </c>
      <c r="C77" s="11" t="s">
        <v>951</v>
      </c>
      <c r="D77" s="11" t="s">
        <v>952</v>
      </c>
      <c r="E77" s="20" t="s">
        <v>648</v>
      </c>
      <c r="F77" s="11" t="s">
        <v>692</v>
      </c>
      <c r="G77" s="11" t="s">
        <v>279</v>
      </c>
      <c r="H77" s="11" t="s">
        <v>214</v>
      </c>
      <c r="I77" s="11" t="s">
        <v>279</v>
      </c>
      <c r="J77" s="11" t="s">
        <v>71</v>
      </c>
      <c r="K77" s="13" t="n">
        <v>590</v>
      </c>
      <c r="L77" s="13" t="n">
        <v>0</v>
      </c>
      <c r="M77" s="13" t="n">
        <f aca="false">K77+L77</f>
        <v>590</v>
      </c>
      <c r="N77" s="19" t="n">
        <v>6</v>
      </c>
      <c r="O77" s="19" t="n">
        <f aca="false">IF(N77&lt;=35,1,0.25)*M77/(N77+10)*IF(ISNUMBER(SEARCH("KD mismatch",U77)),0.25,1)</f>
        <v>36.875</v>
      </c>
      <c r="P77" s="20" t="str">
        <f aca="false">IF(N77&lt;=10,"Quick win",IF(N77&lt;=20,"Strong",IF(N77&lt;=35,"Moderate","Stretch")))</f>
        <v>Quick win</v>
      </c>
      <c r="Q77" s="12"/>
      <c r="R77" s="12"/>
      <c r="S77" s="12" t="s">
        <v>953</v>
      </c>
      <c r="T77" s="12"/>
      <c r="U77" s="12" t="s">
        <v>667</v>
      </c>
      <c r="V77" s="14" t="s">
        <v>203</v>
      </c>
      <c r="W77" s="14"/>
      <c r="X77" s="15"/>
      <c r="Y77" s="14"/>
      <c r="Z77" s="24"/>
    </row>
    <row r="78" customFormat="false" ht="23.85" hidden="false" customHeight="false" outlineLevel="0" collapsed="false">
      <c r="A78" s="11" t="n">
        <v>77</v>
      </c>
      <c r="B78" s="11" t="s">
        <v>2</v>
      </c>
      <c r="C78" s="11" t="s">
        <v>954</v>
      </c>
      <c r="D78" s="11" t="s">
        <v>955</v>
      </c>
      <c r="E78" s="20" t="s">
        <v>648</v>
      </c>
      <c r="F78" s="11" t="s">
        <v>850</v>
      </c>
      <c r="G78" s="11" t="s">
        <v>301</v>
      </c>
      <c r="H78" s="11" t="s">
        <v>302</v>
      </c>
      <c r="I78" s="11" t="s">
        <v>301</v>
      </c>
      <c r="J78" s="11" t="s">
        <v>71</v>
      </c>
      <c r="K78" s="13" t="n">
        <v>0</v>
      </c>
      <c r="L78" s="13" t="n">
        <v>590</v>
      </c>
      <c r="M78" s="13" t="n">
        <f aca="false">K78+L78</f>
        <v>590</v>
      </c>
      <c r="N78" s="19" t="n">
        <v>6</v>
      </c>
      <c r="O78" s="19" t="n">
        <f aca="false">IF(N78&lt;=35,1,0.25)*M78/(N78+10)*IF(ISNUMBER(SEARCH("KD mismatch",U78)),0.25,1)</f>
        <v>36.875</v>
      </c>
      <c r="P78" s="20" t="str">
        <f aca="false">IF(N78&lt;=10,"Quick win",IF(N78&lt;=20,"Strong",IF(N78&lt;=35,"Moderate","Stretch")))</f>
        <v>Quick win</v>
      </c>
      <c r="Q78" s="12"/>
      <c r="R78" s="12"/>
      <c r="S78" s="12" t="s">
        <v>956</v>
      </c>
      <c r="T78" s="12"/>
      <c r="U78" s="12" t="s">
        <v>667</v>
      </c>
      <c r="V78" s="14" t="s">
        <v>203</v>
      </c>
      <c r="W78" s="14"/>
      <c r="X78" s="15"/>
      <c r="Y78" s="14"/>
      <c r="Z78" s="24"/>
    </row>
    <row r="79" customFormat="false" ht="23.85" hidden="false" customHeight="false" outlineLevel="0" collapsed="false">
      <c r="A79" s="11" t="n">
        <v>78</v>
      </c>
      <c r="B79" s="11" t="s">
        <v>2</v>
      </c>
      <c r="C79" s="11" t="s">
        <v>957</v>
      </c>
      <c r="D79" s="11" t="s">
        <v>958</v>
      </c>
      <c r="E79" s="20" t="s">
        <v>627</v>
      </c>
      <c r="F79" s="11" t="s">
        <v>642</v>
      </c>
      <c r="G79" s="11" t="s">
        <v>959</v>
      </c>
      <c r="H79" s="11" t="s">
        <v>664</v>
      </c>
      <c r="I79" s="11" t="s">
        <v>205</v>
      </c>
      <c r="J79" s="11" t="s">
        <v>56</v>
      </c>
      <c r="K79" s="13" t="n">
        <v>590</v>
      </c>
      <c r="L79" s="13" t="n">
        <v>0</v>
      </c>
      <c r="M79" s="13" t="n">
        <f aca="false">K79+L79</f>
        <v>590</v>
      </c>
      <c r="N79" s="19" t="n">
        <v>6</v>
      </c>
      <c r="O79" s="19" t="n">
        <f aca="false">IF(N79&lt;=35,1,0.25)*M79/(N79+10)*IF(ISNUMBER(SEARCH("KD mismatch",U79)),0.25,1)</f>
        <v>36.875</v>
      </c>
      <c r="P79" s="20" t="str">
        <f aca="false">IF(N79&lt;=10,"Quick win",IF(N79&lt;=20,"Strong",IF(N79&lt;=35,"Moderate","Stretch")))</f>
        <v>Quick win</v>
      </c>
      <c r="Q79" s="12"/>
      <c r="R79" s="12"/>
      <c r="S79" s="12" t="s">
        <v>960</v>
      </c>
      <c r="T79" s="12"/>
      <c r="U79" s="12"/>
      <c r="V79" s="14" t="s">
        <v>203</v>
      </c>
      <c r="W79" s="14"/>
      <c r="X79" s="15"/>
      <c r="Y79" s="14"/>
      <c r="Z79" s="24"/>
    </row>
    <row r="80" customFormat="false" ht="23.85" hidden="false" customHeight="false" outlineLevel="0" collapsed="false">
      <c r="A80" s="11" t="n">
        <v>79</v>
      </c>
      <c r="B80" s="11" t="s">
        <v>2</v>
      </c>
      <c r="C80" s="11" t="s">
        <v>961</v>
      </c>
      <c r="D80" s="11" t="s">
        <v>962</v>
      </c>
      <c r="E80" s="20" t="s">
        <v>627</v>
      </c>
      <c r="F80" s="11" t="s">
        <v>642</v>
      </c>
      <c r="G80" s="11" t="s">
        <v>963</v>
      </c>
      <c r="H80" s="11" t="s">
        <v>341</v>
      </c>
      <c r="I80" s="11" t="s">
        <v>341</v>
      </c>
      <c r="J80" s="11" t="s">
        <v>56</v>
      </c>
      <c r="K80" s="13" t="n">
        <v>590</v>
      </c>
      <c r="L80" s="13" t="n">
        <v>0</v>
      </c>
      <c r="M80" s="13" t="n">
        <f aca="false">K80+L80</f>
        <v>590</v>
      </c>
      <c r="N80" s="19" t="n">
        <v>6</v>
      </c>
      <c r="O80" s="19" t="n">
        <f aca="false">IF(N80&lt;=35,1,0.25)*M80/(N80+10)*IF(ISNUMBER(SEARCH("KD mismatch",U80)),0.25,1)</f>
        <v>36.875</v>
      </c>
      <c r="P80" s="20" t="str">
        <f aca="false">IF(N80&lt;=10,"Quick win",IF(N80&lt;=20,"Strong",IF(N80&lt;=35,"Moderate","Stretch")))</f>
        <v>Quick win</v>
      </c>
      <c r="Q80" s="12"/>
      <c r="R80" s="12"/>
      <c r="S80" s="12" t="s">
        <v>964</v>
      </c>
      <c r="T80" s="12"/>
      <c r="U80" s="12"/>
      <c r="V80" s="14" t="s">
        <v>203</v>
      </c>
      <c r="W80" s="14"/>
      <c r="X80" s="15"/>
      <c r="Y80" s="14"/>
      <c r="Z80" s="24"/>
    </row>
    <row r="81" customFormat="false" ht="23.85" hidden="false" customHeight="false" outlineLevel="0" collapsed="false">
      <c r="A81" s="11" t="n">
        <v>80</v>
      </c>
      <c r="B81" s="11" t="s">
        <v>2</v>
      </c>
      <c r="C81" s="11" t="s">
        <v>965</v>
      </c>
      <c r="D81" s="11" t="s">
        <v>966</v>
      </c>
      <c r="E81" s="20" t="s">
        <v>627</v>
      </c>
      <c r="F81" s="11" t="s">
        <v>642</v>
      </c>
      <c r="G81" s="11" t="s">
        <v>967</v>
      </c>
      <c r="H81" s="11" t="s">
        <v>214</v>
      </c>
      <c r="I81" s="11" t="s">
        <v>214</v>
      </c>
      <c r="J81" s="11" t="s">
        <v>56</v>
      </c>
      <c r="K81" s="13" t="n">
        <v>990</v>
      </c>
      <c r="L81" s="13" t="n">
        <v>0</v>
      </c>
      <c r="M81" s="13" t="n">
        <f aca="false">K81+L81</f>
        <v>990</v>
      </c>
      <c r="N81" s="19" t="n">
        <v>17</v>
      </c>
      <c r="O81" s="19" t="n">
        <f aca="false">IF(N81&lt;=35,1,0.25)*M81/(N81+10)*IF(ISNUMBER(SEARCH("KD mismatch",U81)),0.25,1)</f>
        <v>36.6666666666667</v>
      </c>
      <c r="P81" s="20" t="str">
        <f aca="false">IF(N81&lt;=10,"Quick win",IF(N81&lt;=20,"Strong",IF(N81&lt;=35,"Moderate","Stretch")))</f>
        <v>Strong</v>
      </c>
      <c r="Q81" s="12"/>
      <c r="R81" s="12"/>
      <c r="S81" s="12" t="s">
        <v>968</v>
      </c>
      <c r="T81" s="12"/>
      <c r="U81" s="12"/>
      <c r="V81" s="14" t="s">
        <v>203</v>
      </c>
      <c r="W81" s="14"/>
      <c r="X81" s="15"/>
      <c r="Y81" s="14"/>
      <c r="Z81" s="24"/>
    </row>
    <row r="82" customFormat="false" ht="23.85" hidden="false" customHeight="false" outlineLevel="0" collapsed="false">
      <c r="A82" s="11" t="n">
        <v>81</v>
      </c>
      <c r="B82" s="11" t="s">
        <v>2</v>
      </c>
      <c r="C82" s="11" t="s">
        <v>969</v>
      </c>
      <c r="D82" s="11" t="s">
        <v>970</v>
      </c>
      <c r="E82" s="20" t="s">
        <v>648</v>
      </c>
      <c r="F82" s="11" t="s">
        <v>692</v>
      </c>
      <c r="G82" s="11" t="s">
        <v>235</v>
      </c>
      <c r="H82" s="11" t="s">
        <v>687</v>
      </c>
      <c r="I82" s="11" t="s">
        <v>235</v>
      </c>
      <c r="J82" s="11" t="s">
        <v>71</v>
      </c>
      <c r="K82" s="13" t="n">
        <v>260</v>
      </c>
      <c r="L82" s="13" t="n">
        <v>320</v>
      </c>
      <c r="M82" s="13" t="n">
        <f aca="false">K82+L82</f>
        <v>580</v>
      </c>
      <c r="N82" s="19" t="n">
        <v>6.3</v>
      </c>
      <c r="O82" s="19" t="n">
        <f aca="false">IF(N82&lt;=35,1,0.25)*M82/(N82+10)*IF(ISNUMBER(SEARCH("KD mismatch",U82)),0.25,1)</f>
        <v>35.5828220858896</v>
      </c>
      <c r="P82" s="20" t="str">
        <f aca="false">IF(N82&lt;=10,"Quick win",IF(N82&lt;=20,"Strong",IF(N82&lt;=35,"Moderate","Stretch")))</f>
        <v>Quick win</v>
      </c>
      <c r="Q82" s="12"/>
      <c r="R82" s="12"/>
      <c r="S82" s="12" t="s">
        <v>971</v>
      </c>
      <c r="T82" s="12"/>
      <c r="U82" s="12"/>
      <c r="V82" s="14" t="s">
        <v>203</v>
      </c>
      <c r="W82" s="14"/>
      <c r="X82" s="15"/>
      <c r="Y82" s="14"/>
      <c r="Z82" s="24"/>
    </row>
    <row r="83" customFormat="false" ht="23.85" hidden="false" customHeight="false" outlineLevel="0" collapsed="false">
      <c r="A83" s="11" t="n">
        <v>82</v>
      </c>
      <c r="B83" s="11" t="s">
        <v>2</v>
      </c>
      <c r="C83" s="11" t="s">
        <v>972</v>
      </c>
      <c r="D83" s="11" t="s">
        <v>973</v>
      </c>
      <c r="E83" s="20" t="s">
        <v>648</v>
      </c>
      <c r="F83" s="11" t="s">
        <v>700</v>
      </c>
      <c r="G83" s="11" t="s">
        <v>80</v>
      </c>
      <c r="H83" s="11" t="s">
        <v>247</v>
      </c>
      <c r="I83" s="11" t="s">
        <v>80</v>
      </c>
      <c r="J83" s="11" t="s">
        <v>143</v>
      </c>
      <c r="K83" s="13" t="n">
        <v>320</v>
      </c>
      <c r="L83" s="13" t="n">
        <v>330</v>
      </c>
      <c r="M83" s="13" t="n">
        <f aca="false">K83+L83</f>
        <v>650</v>
      </c>
      <c r="N83" s="19" t="n">
        <v>8.3</v>
      </c>
      <c r="O83" s="19" t="n">
        <f aca="false">IF(N83&lt;=35,1,0.25)*M83/(N83+10)*IF(ISNUMBER(SEARCH("KD mismatch",U83)),0.25,1)</f>
        <v>35.5191256830601</v>
      </c>
      <c r="P83" s="20" t="str">
        <f aca="false">IF(N83&lt;=10,"Quick win",IF(N83&lt;=20,"Strong",IF(N83&lt;=35,"Moderate","Stretch")))</f>
        <v>Quick win</v>
      </c>
      <c r="Q83" s="12" t="s">
        <v>974</v>
      </c>
      <c r="R83" s="12"/>
      <c r="S83" s="12" t="s">
        <v>975</v>
      </c>
      <c r="T83" s="12" t="s">
        <v>657</v>
      </c>
      <c r="U83" s="12"/>
      <c r="V83" s="14" t="s">
        <v>203</v>
      </c>
      <c r="W83" s="14"/>
      <c r="X83" s="15"/>
      <c r="Y83" s="14"/>
      <c r="Z83" s="24"/>
    </row>
    <row r="84" customFormat="false" ht="23.85" hidden="false" customHeight="false" outlineLevel="0" collapsed="false">
      <c r="A84" s="11" t="n">
        <v>83</v>
      </c>
      <c r="B84" s="11" t="s">
        <v>2</v>
      </c>
      <c r="C84" s="11" t="s">
        <v>976</v>
      </c>
      <c r="D84" s="11" t="s">
        <v>977</v>
      </c>
      <c r="E84" s="20" t="s">
        <v>627</v>
      </c>
      <c r="F84" s="11" t="s">
        <v>642</v>
      </c>
      <c r="G84" s="11" t="s">
        <v>978</v>
      </c>
      <c r="H84" s="11" t="s">
        <v>196</v>
      </c>
      <c r="I84" s="11" t="s">
        <v>196</v>
      </c>
      <c r="J84" s="11" t="s">
        <v>56</v>
      </c>
      <c r="K84" s="13" t="n">
        <v>260</v>
      </c>
      <c r="L84" s="13" t="n">
        <v>320</v>
      </c>
      <c r="M84" s="13" t="n">
        <f aca="false">K84+L84</f>
        <v>580</v>
      </c>
      <c r="N84" s="19" t="n">
        <v>6.4</v>
      </c>
      <c r="O84" s="19" t="n">
        <f aca="false">IF(N84&lt;=35,1,0.25)*M84/(N84+10)*IF(ISNUMBER(SEARCH("KD mismatch",U84)),0.25,1)</f>
        <v>35.3658536585366</v>
      </c>
      <c r="P84" s="20" t="str">
        <f aca="false">IF(N84&lt;=10,"Quick win",IF(N84&lt;=20,"Strong",IF(N84&lt;=35,"Moderate","Stretch")))</f>
        <v>Quick win</v>
      </c>
      <c r="Q84" s="12"/>
      <c r="R84" s="12"/>
      <c r="S84" s="12" t="s">
        <v>979</v>
      </c>
      <c r="T84" s="12" t="s">
        <v>818</v>
      </c>
      <c r="U84" s="12"/>
      <c r="V84" s="14" t="s">
        <v>203</v>
      </c>
      <c r="W84" s="14"/>
      <c r="X84" s="15"/>
      <c r="Y84" s="14"/>
      <c r="Z84" s="24"/>
    </row>
    <row r="85" customFormat="false" ht="23.85" hidden="false" customHeight="false" outlineLevel="0" collapsed="false">
      <c r="A85" s="11" t="n">
        <v>84</v>
      </c>
      <c r="B85" s="11" t="s">
        <v>2</v>
      </c>
      <c r="C85" s="11" t="s">
        <v>980</v>
      </c>
      <c r="D85" s="11" t="s">
        <v>981</v>
      </c>
      <c r="E85" s="20" t="s">
        <v>648</v>
      </c>
      <c r="F85" s="11" t="s">
        <v>796</v>
      </c>
      <c r="G85" s="11" t="s">
        <v>231</v>
      </c>
      <c r="H85" s="11" t="s">
        <v>232</v>
      </c>
      <c r="I85" s="11" t="s">
        <v>231</v>
      </c>
      <c r="J85" s="11" t="s">
        <v>71</v>
      </c>
      <c r="K85" s="13" t="n">
        <v>480</v>
      </c>
      <c r="L85" s="13" t="n">
        <v>170</v>
      </c>
      <c r="M85" s="13" t="n">
        <f aca="false">K85+L85</f>
        <v>650</v>
      </c>
      <c r="N85" s="19" t="n">
        <v>8.6</v>
      </c>
      <c r="O85" s="19" t="n">
        <f aca="false">IF(N85&lt;=35,1,0.25)*M85/(N85+10)*IF(ISNUMBER(SEARCH("KD mismatch",U85)),0.25,1)</f>
        <v>34.9462365591398</v>
      </c>
      <c r="P85" s="20" t="str">
        <f aca="false">IF(N85&lt;=10,"Quick win",IF(N85&lt;=20,"Strong",IF(N85&lt;=35,"Moderate","Stretch")))</f>
        <v>Quick win</v>
      </c>
      <c r="Q85" s="12"/>
      <c r="R85" s="12"/>
      <c r="S85" s="12" t="s">
        <v>982</v>
      </c>
      <c r="T85" s="12"/>
      <c r="U85" s="12"/>
      <c r="V85" s="14" t="s">
        <v>203</v>
      </c>
      <c r="W85" s="14"/>
      <c r="X85" s="15"/>
      <c r="Y85" s="14"/>
      <c r="Z85" s="24"/>
    </row>
    <row r="86" customFormat="false" ht="23.85" hidden="false" customHeight="false" outlineLevel="0" collapsed="false">
      <c r="A86" s="11" t="n">
        <v>85</v>
      </c>
      <c r="B86" s="11" t="s">
        <v>2</v>
      </c>
      <c r="C86" s="11" t="s">
        <v>983</v>
      </c>
      <c r="D86" s="11" t="s">
        <v>984</v>
      </c>
      <c r="E86" s="20" t="s">
        <v>627</v>
      </c>
      <c r="F86" s="11" t="s">
        <v>642</v>
      </c>
      <c r="G86" s="11" t="s">
        <v>270</v>
      </c>
      <c r="H86" s="11" t="s">
        <v>232</v>
      </c>
      <c r="I86" s="11" t="s">
        <v>270</v>
      </c>
      <c r="J86" s="11" t="s">
        <v>56</v>
      </c>
      <c r="K86" s="13" t="n">
        <v>210</v>
      </c>
      <c r="L86" s="13" t="n">
        <v>480</v>
      </c>
      <c r="M86" s="13" t="n">
        <f aca="false">K86+L86</f>
        <v>690</v>
      </c>
      <c r="N86" s="19" t="n">
        <v>10.1</v>
      </c>
      <c r="O86" s="19" t="n">
        <f aca="false">IF(N86&lt;=35,1,0.25)*M86/(N86+10)*IF(ISNUMBER(SEARCH("KD mismatch",U86)),0.25,1)</f>
        <v>34.3283582089552</v>
      </c>
      <c r="P86" s="20" t="str">
        <f aca="false">IF(N86&lt;=10,"Quick win",IF(N86&lt;=20,"Strong",IF(N86&lt;=35,"Moderate","Stretch")))</f>
        <v>Strong</v>
      </c>
      <c r="Q86" s="12"/>
      <c r="R86" s="12"/>
      <c r="S86" s="12" t="s">
        <v>950</v>
      </c>
      <c r="T86" s="12"/>
      <c r="U86" s="12"/>
      <c r="V86" s="14" t="s">
        <v>203</v>
      </c>
      <c r="W86" s="14"/>
      <c r="X86" s="15"/>
      <c r="Y86" s="14"/>
      <c r="Z86" s="24"/>
    </row>
    <row r="87" customFormat="false" ht="23.85" hidden="false" customHeight="false" outlineLevel="0" collapsed="false">
      <c r="A87" s="11" t="n">
        <v>86</v>
      </c>
      <c r="B87" s="11" t="s">
        <v>2</v>
      </c>
      <c r="C87" s="11" t="s">
        <v>985</v>
      </c>
      <c r="D87" s="11" t="s">
        <v>986</v>
      </c>
      <c r="E87" s="20" t="s">
        <v>627</v>
      </c>
      <c r="F87" s="11" t="s">
        <v>881</v>
      </c>
      <c r="G87" s="11" t="s">
        <v>227</v>
      </c>
      <c r="H87" s="11" t="s">
        <v>228</v>
      </c>
      <c r="I87" s="11" t="s">
        <v>227</v>
      </c>
      <c r="J87" s="11" t="s">
        <v>182</v>
      </c>
      <c r="K87" s="13" t="n">
        <v>590</v>
      </c>
      <c r="L87" s="13" t="n">
        <v>320</v>
      </c>
      <c r="M87" s="13" t="n">
        <f aca="false">K87+L87</f>
        <v>910</v>
      </c>
      <c r="N87" s="19" t="n">
        <v>16.9</v>
      </c>
      <c r="O87" s="19" t="n">
        <f aca="false">IF(N87&lt;=35,1,0.25)*M87/(N87+10)*IF(ISNUMBER(SEARCH("KD mismatch",U87)),0.25,1)</f>
        <v>33.8289962825279</v>
      </c>
      <c r="P87" s="20" t="str">
        <f aca="false">IF(N87&lt;=10,"Quick win",IF(N87&lt;=20,"Strong",IF(N87&lt;=35,"Moderate","Stretch")))</f>
        <v>Strong</v>
      </c>
      <c r="Q87" s="12"/>
      <c r="R87" s="12"/>
      <c r="S87" s="12" t="s">
        <v>987</v>
      </c>
      <c r="T87" s="12"/>
      <c r="U87" s="12" t="s">
        <v>667</v>
      </c>
      <c r="V87" s="14" t="s">
        <v>203</v>
      </c>
      <c r="W87" s="14"/>
      <c r="X87" s="15"/>
      <c r="Y87" s="14"/>
      <c r="Z87" s="24"/>
    </row>
    <row r="88" customFormat="false" ht="23.85" hidden="false" customHeight="false" outlineLevel="0" collapsed="false">
      <c r="A88" s="11" t="n">
        <v>87</v>
      </c>
      <c r="B88" s="11" t="s">
        <v>2</v>
      </c>
      <c r="C88" s="11" t="s">
        <v>988</v>
      </c>
      <c r="D88" s="11" t="s">
        <v>989</v>
      </c>
      <c r="E88" s="20" t="s">
        <v>648</v>
      </c>
      <c r="F88" s="11" t="s">
        <v>700</v>
      </c>
      <c r="G88" s="11" t="s">
        <v>55</v>
      </c>
      <c r="H88" s="11" t="s">
        <v>241</v>
      </c>
      <c r="I88" s="11" t="s">
        <v>55</v>
      </c>
      <c r="J88" s="11" t="s">
        <v>143</v>
      </c>
      <c r="K88" s="13" t="n">
        <v>480</v>
      </c>
      <c r="L88" s="13" t="n">
        <v>80</v>
      </c>
      <c r="M88" s="13" t="n">
        <f aca="false">K88+L88</f>
        <v>560</v>
      </c>
      <c r="N88" s="19" t="n">
        <v>6.7</v>
      </c>
      <c r="O88" s="19" t="n">
        <f aca="false">IF(N88&lt;=35,1,0.25)*M88/(N88+10)*IF(ISNUMBER(SEARCH("KD mismatch",U88)),0.25,1)</f>
        <v>33.5329341317365</v>
      </c>
      <c r="P88" s="20" t="str">
        <f aca="false">IF(N88&lt;=10,"Quick win",IF(N88&lt;=20,"Strong",IF(N88&lt;=35,"Moderate","Stretch")))</f>
        <v>Quick win</v>
      </c>
      <c r="Q88" s="12"/>
      <c r="R88" s="12"/>
      <c r="S88" s="12" t="s">
        <v>990</v>
      </c>
      <c r="T88" s="12" t="s">
        <v>645</v>
      </c>
      <c r="U88" s="12"/>
      <c r="V88" s="14" t="s">
        <v>203</v>
      </c>
      <c r="W88" s="14"/>
      <c r="X88" s="15"/>
      <c r="Y88" s="14"/>
      <c r="Z88" s="24"/>
    </row>
    <row r="89" customFormat="false" ht="23.85" hidden="false" customHeight="false" outlineLevel="0" collapsed="false">
      <c r="A89" s="11" t="n">
        <v>88</v>
      </c>
      <c r="B89" s="11" t="s">
        <v>2</v>
      </c>
      <c r="C89" s="11" t="s">
        <v>991</v>
      </c>
      <c r="D89" s="11" t="s">
        <v>992</v>
      </c>
      <c r="E89" s="20" t="s">
        <v>648</v>
      </c>
      <c r="F89" s="11" t="s">
        <v>796</v>
      </c>
      <c r="G89" s="11" t="s">
        <v>115</v>
      </c>
      <c r="H89" s="11" t="s">
        <v>706</v>
      </c>
      <c r="I89" s="11" t="s">
        <v>115</v>
      </c>
      <c r="J89" s="11" t="s">
        <v>71</v>
      </c>
      <c r="K89" s="13" t="n">
        <v>390</v>
      </c>
      <c r="L89" s="13" t="n">
        <v>260</v>
      </c>
      <c r="M89" s="13" t="n">
        <f aca="false">K89+L89</f>
        <v>650</v>
      </c>
      <c r="N89" s="19" t="n">
        <v>9.4</v>
      </c>
      <c r="O89" s="19" t="n">
        <f aca="false">IF(N89&lt;=35,1,0.25)*M89/(N89+10)*IF(ISNUMBER(SEARCH("KD mismatch",U89)),0.25,1)</f>
        <v>33.5051546391753</v>
      </c>
      <c r="P89" s="20" t="str">
        <f aca="false">IF(N89&lt;=10,"Quick win",IF(N89&lt;=20,"Strong",IF(N89&lt;=35,"Moderate","Stretch")))</f>
        <v>Quick win</v>
      </c>
      <c r="Q89" s="12"/>
      <c r="R89" s="12"/>
      <c r="S89" s="12" t="s">
        <v>993</v>
      </c>
      <c r="T89" s="12" t="s">
        <v>709</v>
      </c>
      <c r="U89" s="12"/>
      <c r="V89" s="14" t="s">
        <v>203</v>
      </c>
      <c r="W89" s="14"/>
      <c r="X89" s="15"/>
      <c r="Y89" s="14"/>
      <c r="Z89" s="24"/>
    </row>
    <row r="90" customFormat="false" ht="23.85" hidden="false" customHeight="false" outlineLevel="0" collapsed="false">
      <c r="A90" s="11" t="n">
        <v>89</v>
      </c>
      <c r="B90" s="11" t="s">
        <v>2</v>
      </c>
      <c r="C90" s="11" t="s">
        <v>994</v>
      </c>
      <c r="D90" s="11" t="s">
        <v>995</v>
      </c>
      <c r="E90" s="20" t="s">
        <v>627</v>
      </c>
      <c r="F90" s="11" t="s">
        <v>642</v>
      </c>
      <c r="G90" s="11" t="s">
        <v>996</v>
      </c>
      <c r="H90" s="11" t="s">
        <v>196</v>
      </c>
      <c r="I90" s="11" t="s">
        <v>196</v>
      </c>
      <c r="J90" s="11" t="s">
        <v>56</v>
      </c>
      <c r="K90" s="13" t="n">
        <v>140</v>
      </c>
      <c r="L90" s="13" t="n">
        <v>480</v>
      </c>
      <c r="M90" s="13" t="n">
        <f aca="false">K90+L90</f>
        <v>620</v>
      </c>
      <c r="N90" s="19" t="n">
        <v>8.6</v>
      </c>
      <c r="O90" s="19" t="n">
        <f aca="false">IF(N90&lt;=35,1,0.25)*M90/(N90+10)*IF(ISNUMBER(SEARCH("KD mismatch",U90)),0.25,1)</f>
        <v>33.3333333333333</v>
      </c>
      <c r="P90" s="20" t="str">
        <f aca="false">IF(N90&lt;=10,"Quick win",IF(N90&lt;=20,"Strong",IF(N90&lt;=35,"Moderate","Stretch")))</f>
        <v>Quick win</v>
      </c>
      <c r="Q90" s="12"/>
      <c r="R90" s="12"/>
      <c r="S90" s="12" t="s">
        <v>979</v>
      </c>
      <c r="T90" s="12" t="s">
        <v>818</v>
      </c>
      <c r="U90" s="12"/>
      <c r="V90" s="14" t="s">
        <v>203</v>
      </c>
      <c r="W90" s="14"/>
      <c r="X90" s="15"/>
      <c r="Y90" s="14"/>
      <c r="Z90" s="24"/>
    </row>
    <row r="91" customFormat="false" ht="23.85" hidden="false" customHeight="false" outlineLevel="0" collapsed="false">
      <c r="A91" s="11" t="n">
        <v>90</v>
      </c>
      <c r="B91" s="11" t="s">
        <v>2</v>
      </c>
      <c r="C91" s="11" t="s">
        <v>997</v>
      </c>
      <c r="D91" s="11" t="s">
        <v>998</v>
      </c>
      <c r="E91" s="20" t="s">
        <v>648</v>
      </c>
      <c r="F91" s="11" t="s">
        <v>649</v>
      </c>
      <c r="G91" s="11" t="s">
        <v>324</v>
      </c>
      <c r="H91" s="11" t="s">
        <v>999</v>
      </c>
      <c r="I91" s="11" t="s">
        <v>324</v>
      </c>
      <c r="J91" s="11" t="s">
        <v>71</v>
      </c>
      <c r="K91" s="13" t="n">
        <v>530</v>
      </c>
      <c r="L91" s="13" t="n">
        <v>380</v>
      </c>
      <c r="M91" s="13" t="n">
        <f aca="false">K91+L91</f>
        <v>910</v>
      </c>
      <c r="N91" s="19" t="n">
        <v>17.5</v>
      </c>
      <c r="O91" s="19" t="n">
        <f aca="false">IF(N91&lt;=35,1,0.25)*M91/(N91+10)*IF(ISNUMBER(SEARCH("KD mismatch",U91)),0.25,1)</f>
        <v>33.0909090909091</v>
      </c>
      <c r="P91" s="20" t="str">
        <f aca="false">IF(N91&lt;=10,"Quick win",IF(N91&lt;=20,"Strong",IF(N91&lt;=35,"Moderate","Stretch")))</f>
        <v>Strong</v>
      </c>
      <c r="Q91" s="12" t="s">
        <v>1000</v>
      </c>
      <c r="R91" s="12"/>
      <c r="S91" s="12" t="s">
        <v>1001</v>
      </c>
      <c r="T91" s="12"/>
      <c r="U91" s="12"/>
      <c r="V91" s="14" t="s">
        <v>203</v>
      </c>
      <c r="W91" s="14"/>
      <c r="X91" s="15"/>
      <c r="Y91" s="14"/>
      <c r="Z91" s="24"/>
    </row>
    <row r="92" customFormat="false" ht="23.85" hidden="false" customHeight="false" outlineLevel="0" collapsed="false">
      <c r="A92" s="11" t="n">
        <v>91</v>
      </c>
      <c r="B92" s="11" t="s">
        <v>2</v>
      </c>
      <c r="C92" s="11" t="s">
        <v>1002</v>
      </c>
      <c r="D92" s="11" t="s">
        <v>1003</v>
      </c>
      <c r="E92" s="20" t="s">
        <v>627</v>
      </c>
      <c r="F92" s="11" t="s">
        <v>642</v>
      </c>
      <c r="G92" s="11" t="s">
        <v>290</v>
      </c>
      <c r="H92" s="11" t="s">
        <v>214</v>
      </c>
      <c r="I92" s="11" t="s">
        <v>290</v>
      </c>
      <c r="J92" s="11" t="s">
        <v>56</v>
      </c>
      <c r="K92" s="13" t="n">
        <v>760</v>
      </c>
      <c r="L92" s="13" t="n">
        <v>0</v>
      </c>
      <c r="M92" s="13" t="n">
        <f aca="false">K92+L92</f>
        <v>760</v>
      </c>
      <c r="N92" s="19" t="n">
        <v>13</v>
      </c>
      <c r="O92" s="19" t="n">
        <f aca="false">IF(N92&lt;=35,1,0.25)*M92/(N92+10)*IF(ISNUMBER(SEARCH("KD mismatch",U92)),0.25,1)</f>
        <v>33.0434782608696</v>
      </c>
      <c r="P92" s="20" t="str">
        <f aca="false">IF(N92&lt;=10,"Quick win",IF(N92&lt;=20,"Strong",IF(N92&lt;=35,"Moderate","Stretch")))</f>
        <v>Strong</v>
      </c>
      <c r="Q92" s="12"/>
      <c r="R92" s="12"/>
      <c r="S92" s="12" t="s">
        <v>1004</v>
      </c>
      <c r="T92" s="12" t="s">
        <v>927</v>
      </c>
      <c r="U92" s="12"/>
      <c r="V92" s="14" t="s">
        <v>203</v>
      </c>
      <c r="W92" s="14"/>
      <c r="X92" s="15"/>
      <c r="Y92" s="14"/>
      <c r="Z92" s="24"/>
    </row>
    <row r="93" customFormat="false" ht="23.85" hidden="false" customHeight="false" outlineLevel="0" collapsed="false">
      <c r="A93" s="11" t="n">
        <v>92</v>
      </c>
      <c r="B93" s="11" t="s">
        <v>2</v>
      </c>
      <c r="C93" s="11" t="s">
        <v>1005</v>
      </c>
      <c r="D93" s="11" t="s">
        <v>1006</v>
      </c>
      <c r="E93" s="20" t="s">
        <v>648</v>
      </c>
      <c r="F93" s="11" t="s">
        <v>700</v>
      </c>
      <c r="G93" s="11" t="s">
        <v>89</v>
      </c>
      <c r="H93" s="11" t="s">
        <v>224</v>
      </c>
      <c r="I93" s="11" t="s">
        <v>89</v>
      </c>
      <c r="J93" s="11" t="s">
        <v>143</v>
      </c>
      <c r="K93" s="13" t="n">
        <v>590</v>
      </c>
      <c r="L93" s="13" t="n">
        <v>0</v>
      </c>
      <c r="M93" s="13" t="n">
        <f aca="false">K93+L93</f>
        <v>590</v>
      </c>
      <c r="N93" s="19" t="n">
        <v>8</v>
      </c>
      <c r="O93" s="19" t="n">
        <f aca="false">IF(N93&lt;=35,1,0.25)*M93/(N93+10)*IF(ISNUMBER(SEARCH("KD mismatch",U93)),0.25,1)</f>
        <v>32.7777777777778</v>
      </c>
      <c r="P93" s="20" t="str">
        <f aca="false">IF(N93&lt;=10,"Quick win",IF(N93&lt;=20,"Strong",IF(N93&lt;=35,"Moderate","Stretch")))</f>
        <v>Quick win</v>
      </c>
      <c r="Q93" s="12"/>
      <c r="R93" s="12"/>
      <c r="S93" s="12" t="s">
        <v>1007</v>
      </c>
      <c r="T93" s="12"/>
      <c r="U93" s="12"/>
      <c r="V93" s="14" t="s">
        <v>203</v>
      </c>
      <c r="W93" s="14"/>
      <c r="X93" s="15"/>
      <c r="Y93" s="14"/>
      <c r="Z93" s="24"/>
    </row>
    <row r="94" customFormat="false" ht="23.85" hidden="false" customHeight="false" outlineLevel="0" collapsed="false">
      <c r="A94" s="11" t="n">
        <v>93</v>
      </c>
      <c r="B94" s="11" t="s">
        <v>2</v>
      </c>
      <c r="C94" s="11" t="s">
        <v>1008</v>
      </c>
      <c r="D94" s="11" t="s">
        <v>1009</v>
      </c>
      <c r="E94" s="20" t="s">
        <v>627</v>
      </c>
      <c r="F94" s="11" t="s">
        <v>642</v>
      </c>
      <c r="G94" s="11" t="s">
        <v>235</v>
      </c>
      <c r="H94" s="11" t="s">
        <v>687</v>
      </c>
      <c r="I94" s="11" t="s">
        <v>235</v>
      </c>
      <c r="J94" s="11" t="s">
        <v>56</v>
      </c>
      <c r="K94" s="13" t="n">
        <v>590</v>
      </c>
      <c r="L94" s="13" t="n">
        <v>0</v>
      </c>
      <c r="M94" s="13" t="n">
        <f aca="false">K94+L94</f>
        <v>590</v>
      </c>
      <c r="N94" s="19" t="n">
        <v>8</v>
      </c>
      <c r="O94" s="19" t="n">
        <f aca="false">IF(N94&lt;=35,1,0.25)*M94/(N94+10)*IF(ISNUMBER(SEARCH("KD mismatch",U94)),0.25,1)</f>
        <v>32.7777777777778</v>
      </c>
      <c r="P94" s="20" t="str">
        <f aca="false">IF(N94&lt;=10,"Quick win",IF(N94&lt;=20,"Strong",IF(N94&lt;=35,"Moderate","Stretch")))</f>
        <v>Quick win</v>
      </c>
      <c r="Q94" s="12"/>
      <c r="R94" s="12"/>
      <c r="S94" s="12" t="s">
        <v>943</v>
      </c>
      <c r="T94" s="12"/>
      <c r="U94" s="12"/>
      <c r="V94" s="14" t="s">
        <v>203</v>
      </c>
      <c r="W94" s="14"/>
      <c r="X94" s="15"/>
      <c r="Y94" s="14"/>
      <c r="Z94" s="24"/>
    </row>
    <row r="95" customFormat="false" ht="23.85" hidden="false" customHeight="false" outlineLevel="0" collapsed="false">
      <c r="A95" s="11" t="n">
        <v>94</v>
      </c>
      <c r="B95" s="11" t="s">
        <v>2</v>
      </c>
      <c r="C95" s="11" t="s">
        <v>1010</v>
      </c>
      <c r="D95" s="11" t="s">
        <v>1011</v>
      </c>
      <c r="E95" s="20" t="s">
        <v>627</v>
      </c>
      <c r="F95" s="11" t="s">
        <v>642</v>
      </c>
      <c r="G95" s="11" t="s">
        <v>1012</v>
      </c>
      <c r="H95" s="11" t="s">
        <v>311</v>
      </c>
      <c r="I95" s="11" t="s">
        <v>311</v>
      </c>
      <c r="J95" s="11" t="s">
        <v>56</v>
      </c>
      <c r="K95" s="13" t="n">
        <v>590</v>
      </c>
      <c r="L95" s="13" t="n">
        <v>0</v>
      </c>
      <c r="M95" s="13" t="n">
        <f aca="false">K95+L95</f>
        <v>590</v>
      </c>
      <c r="N95" s="19" t="n">
        <v>8</v>
      </c>
      <c r="O95" s="19" t="n">
        <f aca="false">IF(N95&lt;=35,1,0.25)*M95/(N95+10)*IF(ISNUMBER(SEARCH("KD mismatch",U95)),0.25,1)</f>
        <v>32.7777777777778</v>
      </c>
      <c r="P95" s="20" t="str">
        <f aca="false">IF(N95&lt;=10,"Quick win",IF(N95&lt;=20,"Strong",IF(N95&lt;=35,"Moderate","Stretch")))</f>
        <v>Quick win</v>
      </c>
      <c r="Q95" s="12"/>
      <c r="R95" s="12"/>
      <c r="S95" s="12" t="s">
        <v>1013</v>
      </c>
      <c r="T95" s="12"/>
      <c r="U95" s="12"/>
      <c r="V95" s="14" t="s">
        <v>203</v>
      </c>
      <c r="W95" s="14"/>
      <c r="X95" s="15"/>
      <c r="Y95" s="14"/>
      <c r="Z95" s="24"/>
    </row>
    <row r="96" customFormat="false" ht="23.85" hidden="false" customHeight="false" outlineLevel="0" collapsed="false">
      <c r="A96" s="11" t="n">
        <v>95</v>
      </c>
      <c r="B96" s="11" t="s">
        <v>2</v>
      </c>
      <c r="C96" s="11" t="s">
        <v>1014</v>
      </c>
      <c r="D96" s="11" t="s">
        <v>1015</v>
      </c>
      <c r="E96" s="20" t="s">
        <v>648</v>
      </c>
      <c r="F96" s="11" t="s">
        <v>700</v>
      </c>
      <c r="G96" s="11" t="s">
        <v>1016</v>
      </c>
      <c r="H96" s="11" t="s">
        <v>204</v>
      </c>
      <c r="I96" s="11" t="s">
        <v>204</v>
      </c>
      <c r="J96" s="11" t="s">
        <v>143</v>
      </c>
      <c r="K96" s="13" t="n">
        <v>0</v>
      </c>
      <c r="L96" s="13" t="n">
        <v>590</v>
      </c>
      <c r="M96" s="13" t="n">
        <f aca="false">K96+L96</f>
        <v>590</v>
      </c>
      <c r="N96" s="19" t="n">
        <v>8</v>
      </c>
      <c r="O96" s="19" t="n">
        <f aca="false">IF(N96&lt;=35,1,0.25)*M96/(N96+10)*IF(ISNUMBER(SEARCH("KD mismatch",U96)),0.25,1)</f>
        <v>32.7777777777778</v>
      </c>
      <c r="P96" s="20" t="str">
        <f aca="false">IF(N96&lt;=10,"Quick win",IF(N96&lt;=20,"Strong",IF(N96&lt;=35,"Moderate","Stretch")))</f>
        <v>Quick win</v>
      </c>
      <c r="Q96" s="12"/>
      <c r="R96" s="12"/>
      <c r="S96" s="12" t="s">
        <v>1017</v>
      </c>
      <c r="T96" s="12"/>
      <c r="U96" s="12" t="s">
        <v>667</v>
      </c>
      <c r="V96" s="14" t="s">
        <v>203</v>
      </c>
      <c r="W96" s="14"/>
      <c r="X96" s="15"/>
      <c r="Y96" s="14"/>
      <c r="Z96" s="24"/>
    </row>
    <row r="97" customFormat="false" ht="23.85" hidden="false" customHeight="false" outlineLevel="0" collapsed="false">
      <c r="A97" s="11" t="n">
        <v>96</v>
      </c>
      <c r="B97" s="11" t="s">
        <v>2</v>
      </c>
      <c r="C97" s="11" t="s">
        <v>1018</v>
      </c>
      <c r="D97" s="11" t="s">
        <v>1019</v>
      </c>
      <c r="E97" s="20" t="s">
        <v>627</v>
      </c>
      <c r="F97" s="11" t="s">
        <v>642</v>
      </c>
      <c r="G97" s="11" t="s">
        <v>1020</v>
      </c>
      <c r="H97" s="11" t="s">
        <v>314</v>
      </c>
      <c r="I97" s="11" t="s">
        <v>314</v>
      </c>
      <c r="J97" s="11" t="s">
        <v>56</v>
      </c>
      <c r="K97" s="13" t="n">
        <v>320</v>
      </c>
      <c r="L97" s="13" t="n">
        <v>390</v>
      </c>
      <c r="M97" s="13" t="n">
        <f aca="false">K97+L97</f>
        <v>710</v>
      </c>
      <c r="N97" s="19" t="n">
        <v>12</v>
      </c>
      <c r="O97" s="19" t="n">
        <f aca="false">IF(N97&lt;=35,1,0.25)*M97/(N97+10)*IF(ISNUMBER(SEARCH("KD mismatch",U97)),0.25,1)</f>
        <v>32.2727272727273</v>
      </c>
      <c r="P97" s="20" t="str">
        <f aca="false">IF(N97&lt;=10,"Quick win",IF(N97&lt;=20,"Strong",IF(N97&lt;=35,"Moderate","Stretch")))</f>
        <v>Strong</v>
      </c>
      <c r="Q97" s="12"/>
      <c r="R97" s="12"/>
      <c r="S97" s="12" t="s">
        <v>1021</v>
      </c>
      <c r="T97" s="12"/>
      <c r="U97" s="12"/>
      <c r="V97" s="14" t="s">
        <v>203</v>
      </c>
      <c r="W97" s="14"/>
      <c r="X97" s="15"/>
      <c r="Y97" s="14"/>
      <c r="Z97" s="24"/>
    </row>
    <row r="98" customFormat="false" ht="23.85" hidden="false" customHeight="false" outlineLevel="0" collapsed="false">
      <c r="A98" s="11" t="n">
        <v>97</v>
      </c>
      <c r="B98" s="11" t="s">
        <v>2</v>
      </c>
      <c r="C98" s="11" t="s">
        <v>1022</v>
      </c>
      <c r="D98" s="11" t="s">
        <v>1023</v>
      </c>
      <c r="E98" s="20" t="s">
        <v>648</v>
      </c>
      <c r="F98" s="11" t="s">
        <v>649</v>
      </c>
      <c r="G98" s="11" t="s">
        <v>231</v>
      </c>
      <c r="H98" s="11" t="s">
        <v>232</v>
      </c>
      <c r="I98" s="11" t="s">
        <v>231</v>
      </c>
      <c r="J98" s="11" t="s">
        <v>71</v>
      </c>
      <c r="K98" s="13" t="n">
        <v>0</v>
      </c>
      <c r="L98" s="13" t="n">
        <v>370</v>
      </c>
      <c r="M98" s="13" t="n">
        <f aca="false">K98+L98</f>
        <v>370</v>
      </c>
      <c r="N98" s="19" t="n">
        <v>1.5</v>
      </c>
      <c r="O98" s="19" t="n">
        <f aca="false">IF(N98&lt;=35,1,0.25)*M98/(N98+10)*IF(ISNUMBER(SEARCH("KD mismatch",U98)),0.25,1)</f>
        <v>32.1739130434783</v>
      </c>
      <c r="P98" s="20" t="str">
        <f aca="false">IF(N98&lt;=10,"Quick win",IF(N98&lt;=20,"Strong",IF(N98&lt;=35,"Moderate","Stretch")))</f>
        <v>Quick win</v>
      </c>
      <c r="Q98" s="12" t="s">
        <v>1024</v>
      </c>
      <c r="R98" s="12" t="s">
        <v>1025</v>
      </c>
      <c r="S98" s="12" t="s">
        <v>1026</v>
      </c>
      <c r="T98" s="12"/>
      <c r="U98" s="12"/>
      <c r="V98" s="14" t="s">
        <v>203</v>
      </c>
      <c r="W98" s="14"/>
      <c r="X98" s="15"/>
      <c r="Y98" s="14"/>
      <c r="Z98" s="24"/>
    </row>
    <row r="99" customFormat="false" ht="23.85" hidden="false" customHeight="false" outlineLevel="0" collapsed="false">
      <c r="A99" s="11" t="n">
        <v>98</v>
      </c>
      <c r="B99" s="11" t="s">
        <v>2</v>
      </c>
      <c r="C99" s="11" t="s">
        <v>1027</v>
      </c>
      <c r="D99" s="11" t="s">
        <v>1028</v>
      </c>
      <c r="E99" s="20" t="s">
        <v>627</v>
      </c>
      <c r="F99" s="11" t="s">
        <v>738</v>
      </c>
      <c r="G99" s="11" t="s">
        <v>337</v>
      </c>
      <c r="H99" s="11" t="s">
        <v>337</v>
      </c>
      <c r="I99" s="11" t="s">
        <v>337</v>
      </c>
      <c r="J99" s="11" t="s">
        <v>183</v>
      </c>
      <c r="K99" s="13" t="n">
        <v>740</v>
      </c>
      <c r="L99" s="13" t="n">
        <v>0</v>
      </c>
      <c r="M99" s="13" t="n">
        <f aca="false">K99+L99</f>
        <v>740</v>
      </c>
      <c r="N99" s="19" t="n">
        <v>13</v>
      </c>
      <c r="O99" s="19" t="n">
        <f aca="false">IF(N99&lt;=35,1,0.25)*M99/(N99+10)*IF(ISNUMBER(SEARCH("KD mismatch",U99)),0.25,1)</f>
        <v>32.1739130434783</v>
      </c>
      <c r="P99" s="20" t="str">
        <f aca="false">IF(N99&lt;=10,"Quick win",IF(N99&lt;=20,"Strong",IF(N99&lt;=35,"Moderate","Stretch")))</f>
        <v>Strong</v>
      </c>
      <c r="Q99" s="12"/>
      <c r="R99" s="12"/>
      <c r="S99" s="12" t="s">
        <v>1029</v>
      </c>
      <c r="T99" s="12"/>
      <c r="U99" s="12" t="s">
        <v>667</v>
      </c>
      <c r="V99" s="14" t="s">
        <v>203</v>
      </c>
      <c r="W99" s="14"/>
      <c r="X99" s="15"/>
      <c r="Y99" s="14"/>
      <c r="Z99" s="24"/>
    </row>
    <row r="100" customFormat="false" ht="23.85" hidden="false" customHeight="false" outlineLevel="0" collapsed="false">
      <c r="A100" s="11" t="n">
        <v>99</v>
      </c>
      <c r="B100" s="11" t="s">
        <v>2</v>
      </c>
      <c r="C100" s="11" t="s">
        <v>1030</v>
      </c>
      <c r="D100" s="11" t="s">
        <v>1031</v>
      </c>
      <c r="E100" s="20" t="s">
        <v>648</v>
      </c>
      <c r="F100" s="11" t="s">
        <v>700</v>
      </c>
      <c r="G100" s="11" t="s">
        <v>287</v>
      </c>
      <c r="H100" s="11" t="s">
        <v>664</v>
      </c>
      <c r="I100" s="11" t="s">
        <v>287</v>
      </c>
      <c r="J100" s="11" t="s">
        <v>143</v>
      </c>
      <c r="K100" s="13" t="n">
        <v>460</v>
      </c>
      <c r="L100" s="13" t="n">
        <v>110</v>
      </c>
      <c r="M100" s="13" t="n">
        <f aca="false">K100+L100</f>
        <v>570</v>
      </c>
      <c r="N100" s="19" t="n">
        <v>7.8</v>
      </c>
      <c r="O100" s="19" t="n">
        <f aca="false">IF(N100&lt;=35,1,0.25)*M100/(N100+10)*IF(ISNUMBER(SEARCH("KD mismatch",U100)),0.25,1)</f>
        <v>32.0224719101124</v>
      </c>
      <c r="P100" s="20" t="str">
        <f aca="false">IF(N100&lt;=10,"Quick win",IF(N100&lt;=20,"Strong",IF(N100&lt;=35,"Moderate","Stretch")))</f>
        <v>Quick win</v>
      </c>
      <c r="Q100" s="12" t="s">
        <v>1032</v>
      </c>
      <c r="R100" s="12"/>
      <c r="S100" s="12" t="s">
        <v>1033</v>
      </c>
      <c r="T100" s="12"/>
      <c r="U100" s="12"/>
      <c r="V100" s="14" t="s">
        <v>203</v>
      </c>
      <c r="W100" s="14"/>
      <c r="X100" s="15"/>
      <c r="Y100" s="14"/>
      <c r="Z100" s="24"/>
    </row>
    <row r="101" customFormat="false" ht="23.85" hidden="false" customHeight="false" outlineLevel="0" collapsed="false">
      <c r="A101" s="11" t="n">
        <v>100</v>
      </c>
      <c r="B101" s="11" t="s">
        <v>2</v>
      </c>
      <c r="C101" s="11" t="s">
        <v>1034</v>
      </c>
      <c r="D101" s="11" t="s">
        <v>1035</v>
      </c>
      <c r="E101" s="20" t="s">
        <v>648</v>
      </c>
      <c r="F101" s="11" t="s">
        <v>700</v>
      </c>
      <c r="G101" s="11" t="s">
        <v>348</v>
      </c>
      <c r="H101" s="11" t="s">
        <v>232</v>
      </c>
      <c r="I101" s="11" t="s">
        <v>348</v>
      </c>
      <c r="J101" s="11" t="s">
        <v>143</v>
      </c>
      <c r="K101" s="13" t="n">
        <v>480</v>
      </c>
      <c r="L101" s="13" t="n">
        <v>0</v>
      </c>
      <c r="M101" s="13" t="n">
        <f aca="false">K101+L101</f>
        <v>480</v>
      </c>
      <c r="N101" s="19" t="n">
        <v>5</v>
      </c>
      <c r="O101" s="19" t="n">
        <f aca="false">IF(N101&lt;=35,1,0.25)*M101/(N101+10)*IF(ISNUMBER(SEARCH("KD mismatch",U101)),0.25,1)</f>
        <v>32</v>
      </c>
      <c r="P101" s="20" t="str">
        <f aca="false">IF(N101&lt;=10,"Quick win",IF(N101&lt;=20,"Strong",IF(N101&lt;=35,"Moderate","Stretch")))</f>
        <v>Quick win</v>
      </c>
      <c r="Q101" s="12"/>
      <c r="R101" s="12"/>
      <c r="S101" s="12" t="s">
        <v>1036</v>
      </c>
      <c r="T101" s="12"/>
      <c r="U101" s="12"/>
      <c r="V101" s="14" t="s">
        <v>203</v>
      </c>
      <c r="W101" s="14"/>
      <c r="X101" s="15"/>
      <c r="Y101" s="14"/>
      <c r="Z101" s="24"/>
    </row>
    <row r="102" customFormat="false" ht="23.85" hidden="false" customHeight="false" outlineLevel="0" collapsed="false">
      <c r="A102" s="11" t="n">
        <v>101</v>
      </c>
      <c r="B102" s="11" t="s">
        <v>3</v>
      </c>
      <c r="C102" s="11" t="s">
        <v>1037</v>
      </c>
      <c r="D102" s="11" t="s">
        <v>1038</v>
      </c>
      <c r="E102" s="20" t="s">
        <v>648</v>
      </c>
      <c r="F102" s="11" t="s">
        <v>692</v>
      </c>
      <c r="G102" s="11" t="s">
        <v>231</v>
      </c>
      <c r="H102" s="11" t="s">
        <v>232</v>
      </c>
      <c r="I102" s="11" t="s">
        <v>231</v>
      </c>
      <c r="J102" s="11" t="s">
        <v>71</v>
      </c>
      <c r="K102" s="13" t="n">
        <v>0</v>
      </c>
      <c r="L102" s="13" t="n">
        <v>480</v>
      </c>
      <c r="M102" s="13" t="n">
        <f aca="false">K102+L102</f>
        <v>480</v>
      </c>
      <c r="N102" s="19" t="n">
        <v>5</v>
      </c>
      <c r="O102" s="19" t="n">
        <f aca="false">IF(N102&lt;=35,1,0.25)*M102/(N102+10)*IF(ISNUMBER(SEARCH("KD mismatch",U102)),0.25,1)</f>
        <v>32</v>
      </c>
      <c r="P102" s="20" t="str">
        <f aca="false">IF(N102&lt;=10,"Quick win",IF(N102&lt;=20,"Strong",IF(N102&lt;=35,"Moderate","Stretch")))</f>
        <v>Quick win</v>
      </c>
      <c r="Q102" s="12"/>
      <c r="R102" s="12"/>
      <c r="S102" s="12" t="s">
        <v>1039</v>
      </c>
      <c r="T102" s="12"/>
      <c r="U102" s="12"/>
      <c r="V102" s="14" t="s">
        <v>203</v>
      </c>
      <c r="W102" s="14"/>
      <c r="X102" s="15"/>
      <c r="Y102" s="14"/>
      <c r="Z102" s="24"/>
    </row>
    <row r="103" customFormat="false" ht="23.85" hidden="false" customHeight="false" outlineLevel="0" collapsed="false">
      <c r="A103" s="11" t="n">
        <v>102</v>
      </c>
      <c r="B103" s="11" t="s">
        <v>3</v>
      </c>
      <c r="C103" s="11" t="s">
        <v>1040</v>
      </c>
      <c r="D103" s="11" t="s">
        <v>1041</v>
      </c>
      <c r="E103" s="20" t="s">
        <v>648</v>
      </c>
      <c r="F103" s="11" t="s">
        <v>1042</v>
      </c>
      <c r="G103" s="11" t="s">
        <v>227</v>
      </c>
      <c r="H103" s="11" t="s">
        <v>228</v>
      </c>
      <c r="I103" s="11" t="s">
        <v>227</v>
      </c>
      <c r="J103" s="11" t="s">
        <v>143</v>
      </c>
      <c r="K103" s="13" t="n">
        <v>390</v>
      </c>
      <c r="L103" s="13" t="n">
        <v>210</v>
      </c>
      <c r="M103" s="13" t="n">
        <f aca="false">K103+L103</f>
        <v>600</v>
      </c>
      <c r="N103" s="19" t="n">
        <v>8.9</v>
      </c>
      <c r="O103" s="19" t="n">
        <f aca="false">IF(N103&lt;=35,1,0.25)*M103/(N103+10)*IF(ISNUMBER(SEARCH("KD mismatch",U103)),0.25,1)</f>
        <v>31.7460317460317</v>
      </c>
      <c r="P103" s="20" t="str">
        <f aca="false">IF(N103&lt;=10,"Quick win",IF(N103&lt;=20,"Strong",IF(N103&lt;=35,"Moderate","Stretch")))</f>
        <v>Quick win</v>
      </c>
      <c r="Q103" s="12"/>
      <c r="R103" s="12"/>
      <c r="S103" s="12" t="s">
        <v>1043</v>
      </c>
      <c r="T103" s="12"/>
      <c r="U103" s="12"/>
      <c r="V103" s="14" t="s">
        <v>203</v>
      </c>
      <c r="W103" s="14"/>
      <c r="X103" s="15"/>
      <c r="Y103" s="14"/>
      <c r="Z103" s="24"/>
    </row>
    <row r="104" customFormat="false" ht="23.85" hidden="false" customHeight="false" outlineLevel="0" collapsed="false">
      <c r="A104" s="11" t="n">
        <v>103</v>
      </c>
      <c r="B104" s="11" t="s">
        <v>3</v>
      </c>
      <c r="C104" s="11" t="s">
        <v>1044</v>
      </c>
      <c r="D104" s="11" t="s">
        <v>1045</v>
      </c>
      <c r="E104" s="20" t="s">
        <v>627</v>
      </c>
      <c r="F104" s="11" t="s">
        <v>642</v>
      </c>
      <c r="G104" s="11" t="s">
        <v>1046</v>
      </c>
      <c r="H104" s="11" t="s">
        <v>341</v>
      </c>
      <c r="I104" s="11" t="s">
        <v>341</v>
      </c>
      <c r="J104" s="11" t="s">
        <v>56</v>
      </c>
      <c r="K104" s="13" t="n">
        <v>30</v>
      </c>
      <c r="L104" s="13" t="n">
        <v>480</v>
      </c>
      <c r="M104" s="13" t="n">
        <f aca="false">K104+L104</f>
        <v>510</v>
      </c>
      <c r="N104" s="19" t="n">
        <v>6.2</v>
      </c>
      <c r="O104" s="19" t="n">
        <f aca="false">IF(N104&lt;=35,1,0.25)*M104/(N104+10)*IF(ISNUMBER(SEARCH("KD mismatch",U104)),0.25,1)</f>
        <v>31.4814814814815</v>
      </c>
      <c r="P104" s="20" t="str">
        <f aca="false">IF(N104&lt;=10,"Quick win",IF(N104&lt;=20,"Strong",IF(N104&lt;=35,"Moderate","Stretch")))</f>
        <v>Quick win</v>
      </c>
      <c r="Q104" s="12"/>
      <c r="R104" s="12"/>
      <c r="S104" s="12" t="s">
        <v>1047</v>
      </c>
      <c r="T104" s="12"/>
      <c r="U104" s="12"/>
      <c r="V104" s="14" t="s">
        <v>203</v>
      </c>
      <c r="W104" s="14"/>
      <c r="X104" s="15"/>
      <c r="Y104" s="14"/>
      <c r="Z104" s="24"/>
    </row>
    <row r="105" customFormat="false" ht="23.85" hidden="false" customHeight="false" outlineLevel="0" collapsed="false">
      <c r="A105" s="11" t="n">
        <v>104</v>
      </c>
      <c r="B105" s="11" t="s">
        <v>3</v>
      </c>
      <c r="C105" s="11" t="s">
        <v>1048</v>
      </c>
      <c r="D105" s="11" t="s">
        <v>1049</v>
      </c>
      <c r="E105" s="20" t="s">
        <v>627</v>
      </c>
      <c r="F105" s="11" t="s">
        <v>881</v>
      </c>
      <c r="G105" s="11" t="s">
        <v>205</v>
      </c>
      <c r="H105" s="11" t="s">
        <v>205</v>
      </c>
      <c r="I105" s="11" t="s">
        <v>205</v>
      </c>
      <c r="J105" s="11" t="s">
        <v>182</v>
      </c>
      <c r="K105" s="13" t="n">
        <v>260</v>
      </c>
      <c r="L105" s="13" t="n">
        <v>320</v>
      </c>
      <c r="M105" s="13" t="n">
        <f aca="false">K105+L105</f>
        <v>580</v>
      </c>
      <c r="N105" s="19" t="n">
        <v>8.5</v>
      </c>
      <c r="O105" s="19" t="n">
        <f aca="false">IF(N105&lt;=35,1,0.25)*M105/(N105+10)*IF(ISNUMBER(SEARCH("KD mismatch",U105)),0.25,1)</f>
        <v>31.3513513513514</v>
      </c>
      <c r="P105" s="20" t="str">
        <f aca="false">IF(N105&lt;=10,"Quick win",IF(N105&lt;=20,"Strong",IF(N105&lt;=35,"Moderate","Stretch")))</f>
        <v>Quick win</v>
      </c>
      <c r="Q105" s="12"/>
      <c r="R105" s="12"/>
      <c r="S105" s="12" t="s">
        <v>1050</v>
      </c>
      <c r="T105" s="12"/>
      <c r="U105" s="12"/>
      <c r="V105" s="14" t="s">
        <v>203</v>
      </c>
      <c r="W105" s="14"/>
      <c r="X105" s="15"/>
      <c r="Y105" s="14"/>
      <c r="Z105" s="24"/>
    </row>
    <row r="106" customFormat="false" ht="23.85" hidden="false" customHeight="false" outlineLevel="0" collapsed="false">
      <c r="A106" s="11" t="n">
        <v>105</v>
      </c>
      <c r="B106" s="11" t="s">
        <v>3</v>
      </c>
      <c r="C106" s="11" t="s">
        <v>1051</v>
      </c>
      <c r="D106" s="11" t="s">
        <v>1052</v>
      </c>
      <c r="E106" s="20" t="s">
        <v>627</v>
      </c>
      <c r="F106" s="11" t="s">
        <v>642</v>
      </c>
      <c r="G106" s="11" t="s">
        <v>324</v>
      </c>
      <c r="H106" s="11" t="s">
        <v>999</v>
      </c>
      <c r="I106" s="11" t="s">
        <v>324</v>
      </c>
      <c r="J106" s="11" t="s">
        <v>56</v>
      </c>
      <c r="K106" s="13" t="n">
        <v>20</v>
      </c>
      <c r="L106" s="13" t="n">
        <v>480</v>
      </c>
      <c r="M106" s="13" t="n">
        <f aca="false">K106+L106</f>
        <v>500</v>
      </c>
      <c r="N106" s="19" t="n">
        <v>6</v>
      </c>
      <c r="O106" s="19" t="n">
        <f aca="false">IF(N106&lt;=35,1,0.25)*M106/(N106+10)*IF(ISNUMBER(SEARCH("KD mismatch",U106)),0.25,1)</f>
        <v>31.25</v>
      </c>
      <c r="P106" s="20" t="str">
        <f aca="false">IF(N106&lt;=10,"Quick win",IF(N106&lt;=20,"Strong",IF(N106&lt;=35,"Moderate","Stretch")))</f>
        <v>Quick win</v>
      </c>
      <c r="Q106" s="12"/>
      <c r="R106" s="12"/>
      <c r="S106" s="12" t="s">
        <v>1053</v>
      </c>
      <c r="T106" s="12"/>
      <c r="U106" s="12"/>
      <c r="V106" s="14" t="s">
        <v>203</v>
      </c>
      <c r="W106" s="14"/>
      <c r="X106" s="15"/>
      <c r="Y106" s="14"/>
      <c r="Z106" s="24"/>
    </row>
    <row r="107" customFormat="false" ht="23.85" hidden="false" customHeight="false" outlineLevel="0" collapsed="false">
      <c r="A107" s="11" t="n">
        <v>106</v>
      </c>
      <c r="B107" s="11" t="s">
        <v>3</v>
      </c>
      <c r="C107" s="11" t="s">
        <v>1054</v>
      </c>
      <c r="D107" s="11" t="s">
        <v>1055</v>
      </c>
      <c r="E107" s="20" t="s">
        <v>627</v>
      </c>
      <c r="F107" s="11" t="s">
        <v>1056</v>
      </c>
      <c r="G107" s="11" t="s">
        <v>1057</v>
      </c>
      <c r="H107" s="11" t="s">
        <v>214</v>
      </c>
      <c r="I107" s="11" t="s">
        <v>214</v>
      </c>
      <c r="J107" s="11" t="s">
        <v>184</v>
      </c>
      <c r="K107" s="13" t="n">
        <v>590</v>
      </c>
      <c r="L107" s="13" t="n">
        <v>0</v>
      </c>
      <c r="M107" s="13" t="n">
        <f aca="false">K107+L107</f>
        <v>590</v>
      </c>
      <c r="N107" s="19" t="n">
        <v>9</v>
      </c>
      <c r="O107" s="19" t="n">
        <f aca="false">IF(N107&lt;=35,1,0.25)*M107/(N107+10)*IF(ISNUMBER(SEARCH("KD mismatch",U107)),0.25,1)</f>
        <v>31.0526315789474</v>
      </c>
      <c r="P107" s="20" t="str">
        <f aca="false">IF(N107&lt;=10,"Quick win",IF(N107&lt;=20,"Strong",IF(N107&lt;=35,"Moderate","Stretch")))</f>
        <v>Quick win</v>
      </c>
      <c r="Q107" s="12"/>
      <c r="R107" s="12"/>
      <c r="S107" s="12" t="s">
        <v>1058</v>
      </c>
      <c r="T107" s="12"/>
      <c r="U107" s="12"/>
      <c r="V107" s="14" t="s">
        <v>203</v>
      </c>
      <c r="W107" s="14"/>
      <c r="X107" s="15"/>
      <c r="Y107" s="14"/>
      <c r="Z107" s="24"/>
    </row>
    <row r="108" customFormat="false" ht="23.85" hidden="false" customHeight="false" outlineLevel="0" collapsed="false">
      <c r="A108" s="11" t="n">
        <v>107</v>
      </c>
      <c r="B108" s="11" t="s">
        <v>3</v>
      </c>
      <c r="C108" s="11" t="s">
        <v>1059</v>
      </c>
      <c r="D108" s="11" t="s">
        <v>1060</v>
      </c>
      <c r="E108" s="20" t="s">
        <v>648</v>
      </c>
      <c r="F108" s="11" t="s">
        <v>700</v>
      </c>
      <c r="G108" s="11" t="s">
        <v>301</v>
      </c>
      <c r="H108" s="11" t="s">
        <v>302</v>
      </c>
      <c r="I108" s="11" t="s">
        <v>301</v>
      </c>
      <c r="J108" s="11" t="s">
        <v>143</v>
      </c>
      <c r="K108" s="13" t="n">
        <v>640</v>
      </c>
      <c r="L108" s="13" t="n">
        <v>210</v>
      </c>
      <c r="M108" s="13" t="n">
        <f aca="false">K108+L108</f>
        <v>850</v>
      </c>
      <c r="N108" s="19" t="n">
        <v>17.4</v>
      </c>
      <c r="O108" s="19" t="n">
        <f aca="false">IF(N108&lt;=35,1,0.25)*M108/(N108+10)*IF(ISNUMBER(SEARCH("KD mismatch",U108)),0.25,1)</f>
        <v>31.021897810219</v>
      </c>
      <c r="P108" s="20" t="str">
        <f aca="false">IF(N108&lt;=10,"Quick win",IF(N108&lt;=20,"Strong",IF(N108&lt;=35,"Moderate","Stretch")))</f>
        <v>Strong</v>
      </c>
      <c r="Q108" s="12" t="s">
        <v>1061</v>
      </c>
      <c r="R108" s="12"/>
      <c r="S108" s="12" t="s">
        <v>1062</v>
      </c>
      <c r="T108" s="12"/>
      <c r="U108" s="12" t="s">
        <v>667</v>
      </c>
      <c r="V108" s="14" t="s">
        <v>203</v>
      </c>
      <c r="W108" s="14"/>
      <c r="X108" s="15"/>
      <c r="Y108" s="14"/>
      <c r="Z108" s="24"/>
    </row>
    <row r="109" customFormat="false" ht="23.85" hidden="false" customHeight="false" outlineLevel="0" collapsed="false">
      <c r="A109" s="11" t="n">
        <v>108</v>
      </c>
      <c r="B109" s="11" t="s">
        <v>3</v>
      </c>
      <c r="C109" s="11" t="s">
        <v>1063</v>
      </c>
      <c r="D109" s="11" t="s">
        <v>1064</v>
      </c>
      <c r="E109" s="20" t="s">
        <v>648</v>
      </c>
      <c r="F109" s="11" t="s">
        <v>649</v>
      </c>
      <c r="G109" s="11" t="s">
        <v>382</v>
      </c>
      <c r="H109" s="11" t="s">
        <v>1065</v>
      </c>
      <c r="I109" s="11" t="s">
        <v>382</v>
      </c>
      <c r="J109" s="11" t="s">
        <v>71</v>
      </c>
      <c r="K109" s="13" t="n">
        <v>590</v>
      </c>
      <c r="L109" s="13" t="n">
        <v>90</v>
      </c>
      <c r="M109" s="13" t="n">
        <f aca="false">K109+L109</f>
        <v>680</v>
      </c>
      <c r="N109" s="19" t="n">
        <v>12.5</v>
      </c>
      <c r="O109" s="19" t="n">
        <f aca="false">IF(N109&lt;=35,1,0.25)*M109/(N109+10)*IF(ISNUMBER(SEARCH("KD mismatch",U109)),0.25,1)</f>
        <v>30.2222222222222</v>
      </c>
      <c r="P109" s="20" t="str">
        <f aca="false">IF(N109&lt;=10,"Quick win",IF(N109&lt;=20,"Strong",IF(N109&lt;=35,"Moderate","Stretch")))</f>
        <v>Strong</v>
      </c>
      <c r="Q109" s="12"/>
      <c r="R109" s="12"/>
      <c r="S109" s="12" t="s">
        <v>1066</v>
      </c>
      <c r="T109" s="12"/>
      <c r="U109" s="12" t="s">
        <v>667</v>
      </c>
      <c r="V109" s="14" t="s">
        <v>203</v>
      </c>
      <c r="W109" s="14"/>
      <c r="X109" s="15"/>
      <c r="Y109" s="14"/>
      <c r="Z109" s="24"/>
    </row>
    <row r="110" customFormat="false" ht="23.85" hidden="false" customHeight="false" outlineLevel="0" collapsed="false">
      <c r="A110" s="11" t="n">
        <v>109</v>
      </c>
      <c r="B110" s="11" t="s">
        <v>3</v>
      </c>
      <c r="C110" s="11" t="s">
        <v>1067</v>
      </c>
      <c r="D110" s="11" t="s">
        <v>1068</v>
      </c>
      <c r="E110" s="20" t="s">
        <v>627</v>
      </c>
      <c r="F110" s="11" t="s">
        <v>642</v>
      </c>
      <c r="G110" s="11" t="s">
        <v>379</v>
      </c>
      <c r="H110" s="11" t="s">
        <v>214</v>
      </c>
      <c r="I110" s="11" t="s">
        <v>379</v>
      </c>
      <c r="J110" s="11" t="s">
        <v>56</v>
      </c>
      <c r="K110" s="13" t="n">
        <v>480</v>
      </c>
      <c r="L110" s="13" t="n">
        <v>0</v>
      </c>
      <c r="M110" s="13" t="n">
        <f aca="false">K110+L110</f>
        <v>480</v>
      </c>
      <c r="N110" s="19" t="n">
        <v>6</v>
      </c>
      <c r="O110" s="19" t="n">
        <f aca="false">IF(N110&lt;=35,1,0.25)*M110/(N110+10)*IF(ISNUMBER(SEARCH("KD mismatch",U110)),0.25,1)</f>
        <v>30</v>
      </c>
      <c r="P110" s="20" t="str">
        <f aca="false">IF(N110&lt;=10,"Quick win",IF(N110&lt;=20,"Strong",IF(N110&lt;=35,"Moderate","Stretch")))</f>
        <v>Quick win</v>
      </c>
      <c r="Q110" s="12"/>
      <c r="R110" s="12"/>
      <c r="S110" s="12" t="s">
        <v>1069</v>
      </c>
      <c r="T110" s="12"/>
      <c r="U110" s="12"/>
      <c r="V110" s="14" t="s">
        <v>203</v>
      </c>
      <c r="W110" s="14"/>
      <c r="X110" s="15"/>
      <c r="Y110" s="14"/>
      <c r="Z110" s="24"/>
    </row>
    <row r="111" customFormat="false" ht="23.85" hidden="false" customHeight="false" outlineLevel="0" collapsed="false">
      <c r="A111" s="11" t="n">
        <v>110</v>
      </c>
      <c r="B111" s="11" t="s">
        <v>3</v>
      </c>
      <c r="C111" s="11" t="s">
        <v>1070</v>
      </c>
      <c r="D111" s="11" t="s">
        <v>1071</v>
      </c>
      <c r="E111" s="20" t="s">
        <v>627</v>
      </c>
      <c r="F111" s="11" t="s">
        <v>642</v>
      </c>
      <c r="G111" s="11" t="s">
        <v>1072</v>
      </c>
      <c r="H111" s="11" t="s">
        <v>241</v>
      </c>
      <c r="I111" s="11" t="s">
        <v>241</v>
      </c>
      <c r="J111" s="11" t="s">
        <v>56</v>
      </c>
      <c r="K111" s="13" t="n">
        <v>0</v>
      </c>
      <c r="L111" s="13" t="n">
        <v>480</v>
      </c>
      <c r="M111" s="13" t="n">
        <f aca="false">K111+L111</f>
        <v>480</v>
      </c>
      <c r="N111" s="19" t="n">
        <v>6</v>
      </c>
      <c r="O111" s="19" t="n">
        <f aca="false">IF(N111&lt;=35,1,0.25)*M111/(N111+10)*IF(ISNUMBER(SEARCH("KD mismatch",U111)),0.25,1)</f>
        <v>30</v>
      </c>
      <c r="P111" s="20" t="str">
        <f aca="false">IF(N111&lt;=10,"Quick win",IF(N111&lt;=20,"Strong",IF(N111&lt;=35,"Moderate","Stretch")))</f>
        <v>Quick win</v>
      </c>
      <c r="Q111" s="12"/>
      <c r="R111" s="12"/>
      <c r="S111" s="12" t="s">
        <v>1073</v>
      </c>
      <c r="T111" s="12" t="s">
        <v>818</v>
      </c>
      <c r="U111" s="12"/>
      <c r="V111" s="14" t="s">
        <v>203</v>
      </c>
      <c r="W111" s="14"/>
      <c r="X111" s="15"/>
      <c r="Y111" s="14"/>
      <c r="Z111" s="24"/>
    </row>
    <row r="112" customFormat="false" ht="23.85" hidden="false" customHeight="false" outlineLevel="0" collapsed="false">
      <c r="A112" s="11" t="n">
        <v>111</v>
      </c>
      <c r="B112" s="11" t="s">
        <v>3</v>
      </c>
      <c r="C112" s="11" t="s">
        <v>1074</v>
      </c>
      <c r="D112" s="11" t="s">
        <v>1075</v>
      </c>
      <c r="E112" s="20" t="s">
        <v>627</v>
      </c>
      <c r="F112" s="11" t="s">
        <v>642</v>
      </c>
      <c r="G112" s="11" t="s">
        <v>1076</v>
      </c>
      <c r="H112" s="11" t="s">
        <v>367</v>
      </c>
      <c r="I112" s="11" t="s">
        <v>367</v>
      </c>
      <c r="J112" s="11" t="s">
        <v>56</v>
      </c>
      <c r="K112" s="13" t="n">
        <v>0</v>
      </c>
      <c r="L112" s="13" t="n">
        <v>480</v>
      </c>
      <c r="M112" s="13" t="n">
        <f aca="false">K112+L112</f>
        <v>480</v>
      </c>
      <c r="N112" s="19" t="n">
        <v>6</v>
      </c>
      <c r="O112" s="19" t="n">
        <f aca="false">IF(N112&lt;=35,1,0.25)*M112/(N112+10)*IF(ISNUMBER(SEARCH("KD mismatch",U112)),0.25,1)</f>
        <v>30</v>
      </c>
      <c r="P112" s="20" t="str">
        <f aca="false">IF(N112&lt;=10,"Quick win",IF(N112&lt;=20,"Strong",IF(N112&lt;=35,"Moderate","Stretch")))</f>
        <v>Quick win</v>
      </c>
      <c r="Q112" s="12"/>
      <c r="R112" s="12"/>
      <c r="S112" s="12" t="s">
        <v>1077</v>
      </c>
      <c r="T112" s="12"/>
      <c r="U112" s="12"/>
      <c r="V112" s="14" t="s">
        <v>203</v>
      </c>
      <c r="W112" s="14"/>
      <c r="X112" s="15"/>
      <c r="Y112" s="14"/>
      <c r="Z112" s="24"/>
    </row>
    <row r="113" customFormat="false" ht="23.85" hidden="false" customHeight="false" outlineLevel="0" collapsed="false">
      <c r="A113" s="11" t="n">
        <v>112</v>
      </c>
      <c r="B113" s="11" t="s">
        <v>3</v>
      </c>
      <c r="C113" s="11" t="s">
        <v>1078</v>
      </c>
      <c r="D113" s="11" t="s">
        <v>1079</v>
      </c>
      <c r="E113" s="20" t="s">
        <v>648</v>
      </c>
      <c r="F113" s="11" t="s">
        <v>700</v>
      </c>
      <c r="G113" s="11" t="s">
        <v>1080</v>
      </c>
      <c r="H113" s="11" t="s">
        <v>214</v>
      </c>
      <c r="I113" s="11" t="s">
        <v>214</v>
      </c>
      <c r="J113" s="11" t="s">
        <v>143</v>
      </c>
      <c r="K113" s="13" t="n">
        <v>590</v>
      </c>
      <c r="L113" s="13" t="n">
        <v>0</v>
      </c>
      <c r="M113" s="13" t="n">
        <f aca="false">K113+L113</f>
        <v>590</v>
      </c>
      <c r="N113" s="19" t="n">
        <v>10</v>
      </c>
      <c r="O113" s="19" t="n">
        <f aca="false">IF(N113&lt;=35,1,0.25)*M113/(N113+10)*IF(ISNUMBER(SEARCH("KD mismatch",U113)),0.25,1)</f>
        <v>29.5</v>
      </c>
      <c r="P113" s="20" t="str">
        <f aca="false">IF(N113&lt;=10,"Quick win",IF(N113&lt;=20,"Strong",IF(N113&lt;=35,"Moderate","Stretch")))</f>
        <v>Quick win</v>
      </c>
      <c r="Q113" s="12"/>
      <c r="R113" s="12"/>
      <c r="S113" s="12" t="s">
        <v>1081</v>
      </c>
      <c r="T113" s="12"/>
      <c r="U113" s="12"/>
      <c r="V113" s="14" t="s">
        <v>203</v>
      </c>
      <c r="W113" s="14"/>
      <c r="X113" s="15"/>
      <c r="Y113" s="14"/>
      <c r="Z113" s="24"/>
    </row>
    <row r="114" customFormat="false" ht="23.85" hidden="false" customHeight="false" outlineLevel="0" collapsed="false">
      <c r="A114" s="11" t="n">
        <v>113</v>
      </c>
      <c r="B114" s="11" t="s">
        <v>3</v>
      </c>
      <c r="C114" s="11" t="s">
        <v>1082</v>
      </c>
      <c r="D114" s="11" t="s">
        <v>1083</v>
      </c>
      <c r="E114" s="20" t="s">
        <v>648</v>
      </c>
      <c r="F114" s="11" t="s">
        <v>1084</v>
      </c>
      <c r="G114" s="11" t="s">
        <v>298</v>
      </c>
      <c r="H114" s="11" t="s">
        <v>214</v>
      </c>
      <c r="I114" s="11" t="s">
        <v>298</v>
      </c>
      <c r="J114" s="11" t="s">
        <v>71</v>
      </c>
      <c r="K114" s="13" t="n">
        <v>500</v>
      </c>
      <c r="L114" s="13" t="n">
        <v>0</v>
      </c>
      <c r="M114" s="13" t="n">
        <f aca="false">K114+L114</f>
        <v>500</v>
      </c>
      <c r="N114" s="19" t="n">
        <v>7</v>
      </c>
      <c r="O114" s="19" t="n">
        <f aca="false">IF(N114&lt;=35,1,0.25)*M114/(N114+10)*IF(ISNUMBER(SEARCH("KD mismatch",U114)),0.25,1)</f>
        <v>29.4117647058824</v>
      </c>
      <c r="P114" s="20" t="str">
        <f aca="false">IF(N114&lt;=10,"Quick win",IF(N114&lt;=20,"Strong",IF(N114&lt;=35,"Moderate","Stretch")))</f>
        <v>Quick win</v>
      </c>
      <c r="Q114" s="12"/>
      <c r="R114" s="12"/>
      <c r="S114" s="12" t="s">
        <v>1085</v>
      </c>
      <c r="T114" s="12"/>
      <c r="U114" s="12"/>
      <c r="V114" s="14" t="s">
        <v>203</v>
      </c>
      <c r="W114" s="14"/>
      <c r="X114" s="15"/>
      <c r="Y114" s="14"/>
      <c r="Z114" s="24"/>
    </row>
    <row r="115" customFormat="false" ht="23.85" hidden="false" customHeight="false" outlineLevel="0" collapsed="false">
      <c r="A115" s="11" t="n">
        <v>114</v>
      </c>
      <c r="B115" s="11" t="s">
        <v>3</v>
      </c>
      <c r="C115" s="11" t="s">
        <v>1086</v>
      </c>
      <c r="D115" s="11" t="s">
        <v>1087</v>
      </c>
      <c r="E115" s="20" t="s">
        <v>648</v>
      </c>
      <c r="F115" s="11" t="s">
        <v>649</v>
      </c>
      <c r="G115" s="11" t="s">
        <v>301</v>
      </c>
      <c r="H115" s="11" t="s">
        <v>302</v>
      </c>
      <c r="I115" s="11" t="s">
        <v>301</v>
      </c>
      <c r="J115" s="11" t="s">
        <v>71</v>
      </c>
      <c r="K115" s="13" t="n">
        <v>220</v>
      </c>
      <c r="L115" s="13" t="n">
        <v>390</v>
      </c>
      <c r="M115" s="13" t="n">
        <f aca="false">K115+L115</f>
        <v>610</v>
      </c>
      <c r="N115" s="19" t="n">
        <v>10.8</v>
      </c>
      <c r="O115" s="19" t="n">
        <f aca="false">IF(N115&lt;=35,1,0.25)*M115/(N115+10)*IF(ISNUMBER(SEARCH("KD mismatch",U115)),0.25,1)</f>
        <v>29.3269230769231</v>
      </c>
      <c r="P115" s="20" t="str">
        <f aca="false">IF(N115&lt;=10,"Quick win",IF(N115&lt;=20,"Strong",IF(N115&lt;=35,"Moderate","Stretch")))</f>
        <v>Strong</v>
      </c>
      <c r="Q115" s="12" t="s">
        <v>1088</v>
      </c>
      <c r="R115" s="12"/>
      <c r="S115" s="12" t="s">
        <v>1089</v>
      </c>
      <c r="T115" s="12"/>
      <c r="U115" s="12"/>
      <c r="V115" s="14" t="s">
        <v>203</v>
      </c>
      <c r="W115" s="14"/>
      <c r="X115" s="15"/>
      <c r="Y115" s="14"/>
      <c r="Z115" s="24"/>
    </row>
    <row r="116" customFormat="false" ht="23.85" hidden="false" customHeight="false" outlineLevel="0" collapsed="false">
      <c r="A116" s="11" t="n">
        <v>115</v>
      </c>
      <c r="B116" s="11" t="s">
        <v>3</v>
      </c>
      <c r="C116" s="11" t="s">
        <v>1090</v>
      </c>
      <c r="D116" s="11" t="s">
        <v>1091</v>
      </c>
      <c r="E116" s="20" t="s">
        <v>648</v>
      </c>
      <c r="F116" s="11" t="s">
        <v>649</v>
      </c>
      <c r="G116" s="11" t="s">
        <v>1092</v>
      </c>
      <c r="H116" s="11" t="s">
        <v>196</v>
      </c>
      <c r="I116" s="11" t="s">
        <v>196</v>
      </c>
      <c r="J116" s="11" t="s">
        <v>71</v>
      </c>
      <c r="K116" s="13" t="n">
        <v>0</v>
      </c>
      <c r="L116" s="13" t="n">
        <v>720</v>
      </c>
      <c r="M116" s="13" t="n">
        <f aca="false">K116+L116</f>
        <v>720</v>
      </c>
      <c r="N116" s="19" t="n">
        <v>15</v>
      </c>
      <c r="O116" s="19" t="n">
        <f aca="false">IF(N116&lt;=35,1,0.25)*M116/(N116+10)*IF(ISNUMBER(SEARCH("KD mismatch",U116)),0.25,1)</f>
        <v>28.8</v>
      </c>
      <c r="P116" s="20" t="str">
        <f aca="false">IF(N116&lt;=10,"Quick win",IF(N116&lt;=20,"Strong",IF(N116&lt;=35,"Moderate","Stretch")))</f>
        <v>Strong</v>
      </c>
      <c r="Q116" s="12"/>
      <c r="R116" s="12"/>
      <c r="S116" s="12" t="s">
        <v>1093</v>
      </c>
      <c r="T116" s="12"/>
      <c r="U116" s="12"/>
      <c r="V116" s="14" t="s">
        <v>203</v>
      </c>
      <c r="W116" s="14"/>
      <c r="X116" s="15"/>
      <c r="Y116" s="14"/>
      <c r="Z116" s="24"/>
    </row>
    <row r="117" customFormat="false" ht="23.85" hidden="false" customHeight="false" outlineLevel="0" collapsed="false">
      <c r="A117" s="11" t="n">
        <v>116</v>
      </c>
      <c r="B117" s="11" t="s">
        <v>3</v>
      </c>
      <c r="C117" s="11" t="s">
        <v>1094</v>
      </c>
      <c r="D117" s="11" t="s">
        <v>1095</v>
      </c>
      <c r="E117" s="20" t="s">
        <v>627</v>
      </c>
      <c r="F117" s="11" t="s">
        <v>642</v>
      </c>
      <c r="G117" s="11" t="s">
        <v>1096</v>
      </c>
      <c r="H117" s="11" t="s">
        <v>204</v>
      </c>
      <c r="I117" s="11" t="s">
        <v>204</v>
      </c>
      <c r="J117" s="11" t="s">
        <v>56</v>
      </c>
      <c r="K117" s="13" t="n">
        <v>320</v>
      </c>
      <c r="L117" s="13" t="n">
        <v>140</v>
      </c>
      <c r="M117" s="13" t="n">
        <f aca="false">K117+L117</f>
        <v>460</v>
      </c>
      <c r="N117" s="19" t="n">
        <v>6</v>
      </c>
      <c r="O117" s="19" t="n">
        <f aca="false">IF(N117&lt;=35,1,0.25)*M117/(N117+10)*IF(ISNUMBER(SEARCH("KD mismatch",U117)),0.25,1)</f>
        <v>28.75</v>
      </c>
      <c r="P117" s="20" t="str">
        <f aca="false">IF(N117&lt;=10,"Quick win",IF(N117&lt;=20,"Strong",IF(N117&lt;=35,"Moderate","Stretch")))</f>
        <v>Quick win</v>
      </c>
      <c r="Q117" s="12"/>
      <c r="R117" s="12"/>
      <c r="S117" s="12" t="s">
        <v>1017</v>
      </c>
      <c r="T117" s="12"/>
      <c r="U117" s="12"/>
      <c r="V117" s="14" t="s">
        <v>203</v>
      </c>
      <c r="W117" s="14"/>
      <c r="X117" s="15"/>
      <c r="Y117" s="14"/>
      <c r="Z117" s="24"/>
    </row>
    <row r="118" customFormat="false" ht="23.85" hidden="false" customHeight="false" outlineLevel="0" collapsed="false">
      <c r="A118" s="11" t="n">
        <v>117</v>
      </c>
      <c r="B118" s="11" t="s">
        <v>3</v>
      </c>
      <c r="C118" s="11" t="s">
        <v>1097</v>
      </c>
      <c r="D118" s="11" t="s">
        <v>1098</v>
      </c>
      <c r="E118" s="20" t="s">
        <v>648</v>
      </c>
      <c r="F118" s="11" t="s">
        <v>649</v>
      </c>
      <c r="G118" s="11" t="s">
        <v>1099</v>
      </c>
      <c r="H118" s="11" t="s">
        <v>1100</v>
      </c>
      <c r="I118" s="11" t="s">
        <v>246</v>
      </c>
      <c r="J118" s="11" t="s">
        <v>71</v>
      </c>
      <c r="K118" s="13" t="n">
        <v>220</v>
      </c>
      <c r="L118" s="13" t="n">
        <v>390</v>
      </c>
      <c r="M118" s="13" t="n">
        <f aca="false">K118+L118</f>
        <v>610</v>
      </c>
      <c r="N118" s="19" t="n">
        <v>11.3</v>
      </c>
      <c r="O118" s="19" t="n">
        <f aca="false">IF(N118&lt;=35,1,0.25)*M118/(N118+10)*IF(ISNUMBER(SEARCH("KD mismatch",U118)),0.25,1)</f>
        <v>28.6384976525822</v>
      </c>
      <c r="P118" s="20" t="str">
        <f aca="false">IF(N118&lt;=10,"Quick win",IF(N118&lt;=20,"Strong",IF(N118&lt;=35,"Moderate","Stretch")))</f>
        <v>Strong</v>
      </c>
      <c r="Q118" s="12" t="s">
        <v>1101</v>
      </c>
      <c r="R118" s="12"/>
      <c r="S118" s="12" t="s">
        <v>1102</v>
      </c>
      <c r="T118" s="12"/>
      <c r="U118" s="12"/>
      <c r="V118" s="14" t="s">
        <v>203</v>
      </c>
      <c r="W118" s="14"/>
      <c r="X118" s="15"/>
      <c r="Y118" s="14"/>
      <c r="Z118" s="24"/>
    </row>
    <row r="119" customFormat="false" ht="23.85" hidden="false" customHeight="false" outlineLevel="0" collapsed="false">
      <c r="A119" s="11" t="n">
        <v>118</v>
      </c>
      <c r="B119" s="11" t="s">
        <v>3</v>
      </c>
      <c r="C119" s="11" t="s">
        <v>1103</v>
      </c>
      <c r="D119" s="11" t="s">
        <v>1104</v>
      </c>
      <c r="E119" s="20" t="s">
        <v>648</v>
      </c>
      <c r="F119" s="11" t="s">
        <v>850</v>
      </c>
      <c r="G119" s="11" t="s">
        <v>106</v>
      </c>
      <c r="H119" s="11" t="s">
        <v>196</v>
      </c>
      <c r="I119" s="11" t="s">
        <v>106</v>
      </c>
      <c r="J119" s="11" t="s">
        <v>71</v>
      </c>
      <c r="K119" s="13" t="n">
        <v>590</v>
      </c>
      <c r="L119" s="13" t="n">
        <v>40</v>
      </c>
      <c r="M119" s="13" t="n">
        <f aca="false">K119+L119</f>
        <v>630</v>
      </c>
      <c r="N119" s="19" t="n">
        <v>12.1</v>
      </c>
      <c r="O119" s="19" t="n">
        <f aca="false">IF(N119&lt;=35,1,0.25)*M119/(N119+10)*IF(ISNUMBER(SEARCH("KD mismatch",U119)),0.25,1)</f>
        <v>28.5067873303167</v>
      </c>
      <c r="P119" s="20" t="str">
        <f aca="false">IF(N119&lt;=10,"Quick win",IF(N119&lt;=20,"Strong",IF(N119&lt;=35,"Moderate","Stretch")))</f>
        <v>Strong</v>
      </c>
      <c r="Q119" s="12"/>
      <c r="R119" s="12"/>
      <c r="S119" s="12" t="s">
        <v>1105</v>
      </c>
      <c r="T119" s="12" t="s">
        <v>674</v>
      </c>
      <c r="U119" s="12" t="s">
        <v>667</v>
      </c>
      <c r="V119" s="14" t="s">
        <v>203</v>
      </c>
      <c r="W119" s="14"/>
      <c r="X119" s="15"/>
      <c r="Y119" s="14"/>
      <c r="Z119" s="24"/>
    </row>
    <row r="120" customFormat="false" ht="23.85" hidden="false" customHeight="false" outlineLevel="0" collapsed="false">
      <c r="A120" s="11" t="n">
        <v>119</v>
      </c>
      <c r="B120" s="11" t="s">
        <v>3</v>
      </c>
      <c r="C120" s="11" t="s">
        <v>1106</v>
      </c>
      <c r="D120" s="11" t="s">
        <v>1107</v>
      </c>
      <c r="E120" s="20" t="s">
        <v>627</v>
      </c>
      <c r="F120" s="11" t="s">
        <v>738</v>
      </c>
      <c r="G120" s="11" t="s">
        <v>283</v>
      </c>
      <c r="H120" s="11" t="s">
        <v>283</v>
      </c>
      <c r="I120" s="11" t="s">
        <v>283</v>
      </c>
      <c r="J120" s="11" t="s">
        <v>183</v>
      </c>
      <c r="K120" s="13" t="n">
        <v>590</v>
      </c>
      <c r="L120" s="13" t="n">
        <v>440</v>
      </c>
      <c r="M120" s="13" t="n">
        <f aca="false">K120+L120</f>
        <v>1030</v>
      </c>
      <c r="N120" s="19" t="n">
        <v>26.2</v>
      </c>
      <c r="O120" s="19" t="n">
        <f aca="false">IF(N120&lt;=35,1,0.25)*M120/(N120+10)*IF(ISNUMBER(SEARCH("KD mismatch",U120)),0.25,1)</f>
        <v>28.4530386740332</v>
      </c>
      <c r="P120" s="20" t="str">
        <f aca="false">IF(N120&lt;=10,"Quick win",IF(N120&lt;=20,"Strong",IF(N120&lt;=35,"Moderate","Stretch")))</f>
        <v>Moderate</v>
      </c>
      <c r="Q120" s="12"/>
      <c r="R120" s="12"/>
      <c r="S120" s="12" t="s">
        <v>1108</v>
      </c>
      <c r="T120" s="12"/>
      <c r="U120" s="12"/>
      <c r="V120" s="14" t="s">
        <v>203</v>
      </c>
      <c r="W120" s="14"/>
      <c r="X120" s="15"/>
      <c r="Y120" s="14"/>
      <c r="Z120" s="24"/>
    </row>
    <row r="121" customFormat="false" ht="23.85" hidden="false" customHeight="false" outlineLevel="0" collapsed="false">
      <c r="A121" s="11" t="n">
        <v>120</v>
      </c>
      <c r="B121" s="11" t="s">
        <v>3</v>
      </c>
      <c r="C121" s="11" t="s">
        <v>1109</v>
      </c>
      <c r="D121" s="11" t="s">
        <v>1110</v>
      </c>
      <c r="E121" s="20" t="s">
        <v>648</v>
      </c>
      <c r="F121" s="11" t="s">
        <v>784</v>
      </c>
      <c r="G121" s="11" t="s">
        <v>290</v>
      </c>
      <c r="H121" s="11" t="s">
        <v>214</v>
      </c>
      <c r="I121" s="11" t="s">
        <v>290</v>
      </c>
      <c r="J121" s="11" t="s">
        <v>143</v>
      </c>
      <c r="K121" s="13" t="n">
        <v>40</v>
      </c>
      <c r="L121" s="13" t="n">
        <v>590</v>
      </c>
      <c r="M121" s="13" t="n">
        <f aca="false">K121+L121</f>
        <v>630</v>
      </c>
      <c r="N121" s="19" t="n">
        <v>12.2</v>
      </c>
      <c r="O121" s="19" t="n">
        <f aca="false">IF(N121&lt;=35,1,0.25)*M121/(N121+10)*IF(ISNUMBER(SEARCH("KD mismatch",U121)),0.25,1)</f>
        <v>28.3783783783784</v>
      </c>
      <c r="P121" s="20" t="str">
        <f aca="false">IF(N121&lt;=10,"Quick win",IF(N121&lt;=20,"Strong",IF(N121&lt;=35,"Moderate","Stretch")))</f>
        <v>Strong</v>
      </c>
      <c r="Q121" s="12"/>
      <c r="R121" s="12"/>
      <c r="S121" s="12" t="s">
        <v>1111</v>
      </c>
      <c r="T121" s="12" t="s">
        <v>927</v>
      </c>
      <c r="U121" s="12" t="s">
        <v>667</v>
      </c>
      <c r="V121" s="14" t="s">
        <v>203</v>
      </c>
      <c r="W121" s="14"/>
      <c r="X121" s="15"/>
      <c r="Y121" s="14"/>
      <c r="Z121" s="24"/>
    </row>
    <row r="122" customFormat="false" ht="23.85" hidden="false" customHeight="false" outlineLevel="0" collapsed="false">
      <c r="A122" s="11" t="n">
        <v>121</v>
      </c>
      <c r="B122" s="11" t="s">
        <v>3</v>
      </c>
      <c r="C122" s="11" t="s">
        <v>1112</v>
      </c>
      <c r="D122" s="11" t="s">
        <v>1113</v>
      </c>
      <c r="E122" s="20" t="s">
        <v>627</v>
      </c>
      <c r="F122" s="11" t="s">
        <v>642</v>
      </c>
      <c r="G122" s="11" t="s">
        <v>1114</v>
      </c>
      <c r="H122" s="11" t="s">
        <v>1115</v>
      </c>
      <c r="I122" s="11" t="s">
        <v>246</v>
      </c>
      <c r="J122" s="11" t="s">
        <v>56</v>
      </c>
      <c r="K122" s="13" t="n">
        <v>480</v>
      </c>
      <c r="L122" s="13" t="n">
        <v>0</v>
      </c>
      <c r="M122" s="13" t="n">
        <f aca="false">K122+L122</f>
        <v>480</v>
      </c>
      <c r="N122" s="19" t="n">
        <v>7</v>
      </c>
      <c r="O122" s="19" t="n">
        <f aca="false">IF(N122&lt;=35,1,0.25)*M122/(N122+10)*IF(ISNUMBER(SEARCH("KD mismatch",U122)),0.25,1)</f>
        <v>28.2352941176471</v>
      </c>
      <c r="P122" s="20" t="str">
        <f aca="false">IF(N122&lt;=10,"Quick win",IF(N122&lt;=20,"Strong",IF(N122&lt;=35,"Moderate","Stretch")))</f>
        <v>Quick win</v>
      </c>
      <c r="Q122" s="12"/>
      <c r="R122" s="12"/>
      <c r="S122" s="12" t="s">
        <v>1116</v>
      </c>
      <c r="T122" s="12"/>
      <c r="U122" s="12"/>
      <c r="V122" s="14" t="s">
        <v>203</v>
      </c>
      <c r="W122" s="14"/>
      <c r="X122" s="15"/>
      <c r="Y122" s="14"/>
      <c r="Z122" s="24"/>
    </row>
    <row r="123" customFormat="false" ht="23.85" hidden="false" customHeight="false" outlineLevel="0" collapsed="false">
      <c r="A123" s="11" t="n">
        <v>122</v>
      </c>
      <c r="B123" s="11" t="s">
        <v>3</v>
      </c>
      <c r="C123" s="11" t="s">
        <v>1117</v>
      </c>
      <c r="D123" s="11" t="s">
        <v>1118</v>
      </c>
      <c r="E123" s="20" t="s">
        <v>648</v>
      </c>
      <c r="F123" s="11" t="s">
        <v>700</v>
      </c>
      <c r="G123" s="11" t="s">
        <v>1119</v>
      </c>
      <c r="H123" s="11" t="s">
        <v>311</v>
      </c>
      <c r="I123" s="11" t="s">
        <v>311</v>
      </c>
      <c r="J123" s="11" t="s">
        <v>143</v>
      </c>
      <c r="K123" s="13" t="n">
        <v>590</v>
      </c>
      <c r="L123" s="13" t="n">
        <v>0</v>
      </c>
      <c r="M123" s="13" t="n">
        <f aca="false">K123+L123</f>
        <v>590</v>
      </c>
      <c r="N123" s="19" t="n">
        <v>11</v>
      </c>
      <c r="O123" s="19" t="n">
        <f aca="false">IF(N123&lt;=35,1,0.25)*M123/(N123+10)*IF(ISNUMBER(SEARCH("KD mismatch",U123)),0.25,1)</f>
        <v>28.0952380952381</v>
      </c>
      <c r="P123" s="20" t="str">
        <f aca="false">IF(N123&lt;=10,"Quick win",IF(N123&lt;=20,"Strong",IF(N123&lt;=35,"Moderate","Stretch")))</f>
        <v>Strong</v>
      </c>
      <c r="Q123" s="12"/>
      <c r="R123" s="12"/>
      <c r="S123" s="12" t="s">
        <v>1120</v>
      </c>
      <c r="T123" s="12"/>
      <c r="U123" s="12"/>
      <c r="V123" s="14" t="s">
        <v>203</v>
      </c>
      <c r="W123" s="14"/>
      <c r="X123" s="15"/>
      <c r="Y123" s="14"/>
      <c r="Z123" s="24"/>
    </row>
    <row r="124" customFormat="false" ht="23.85" hidden="false" customHeight="false" outlineLevel="0" collapsed="false">
      <c r="A124" s="11" t="n">
        <v>123</v>
      </c>
      <c r="B124" s="11" t="s">
        <v>3</v>
      </c>
      <c r="C124" s="11" t="s">
        <v>1121</v>
      </c>
      <c r="D124" s="11" t="s">
        <v>1122</v>
      </c>
      <c r="E124" s="20" t="s">
        <v>648</v>
      </c>
      <c r="F124" s="11" t="s">
        <v>700</v>
      </c>
      <c r="G124" s="11" t="s">
        <v>1123</v>
      </c>
      <c r="H124" s="11" t="s">
        <v>196</v>
      </c>
      <c r="I124" s="11" t="s">
        <v>196</v>
      </c>
      <c r="J124" s="11" t="s">
        <v>143</v>
      </c>
      <c r="K124" s="13" t="n">
        <v>590</v>
      </c>
      <c r="L124" s="13" t="n">
        <v>0</v>
      </c>
      <c r="M124" s="13" t="n">
        <f aca="false">K124+L124</f>
        <v>590</v>
      </c>
      <c r="N124" s="19" t="n">
        <v>11</v>
      </c>
      <c r="O124" s="19" t="n">
        <f aca="false">IF(N124&lt;=35,1,0.25)*M124/(N124+10)*IF(ISNUMBER(SEARCH("KD mismatch",U124)),0.25,1)</f>
        <v>28.0952380952381</v>
      </c>
      <c r="P124" s="20" t="str">
        <f aca="false">IF(N124&lt;=10,"Quick win",IF(N124&lt;=20,"Strong",IF(N124&lt;=35,"Moderate","Stretch")))</f>
        <v>Strong</v>
      </c>
      <c r="Q124" s="12"/>
      <c r="R124" s="12"/>
      <c r="S124" s="12" t="s">
        <v>1124</v>
      </c>
      <c r="T124" s="12"/>
      <c r="U124" s="12"/>
      <c r="V124" s="14" t="s">
        <v>203</v>
      </c>
      <c r="W124" s="14"/>
      <c r="X124" s="15"/>
      <c r="Y124" s="14"/>
      <c r="Z124" s="24"/>
    </row>
    <row r="125" customFormat="false" ht="23.85" hidden="false" customHeight="false" outlineLevel="0" collapsed="false">
      <c r="A125" s="11" t="n">
        <v>124</v>
      </c>
      <c r="B125" s="11" t="s">
        <v>3</v>
      </c>
      <c r="C125" s="11" t="s">
        <v>1125</v>
      </c>
      <c r="D125" s="11" t="s">
        <v>1126</v>
      </c>
      <c r="E125" s="20" t="s">
        <v>627</v>
      </c>
      <c r="F125" s="11" t="s">
        <v>642</v>
      </c>
      <c r="G125" s="11" t="s">
        <v>256</v>
      </c>
      <c r="H125" s="11" t="s">
        <v>257</v>
      </c>
      <c r="I125" s="11" t="s">
        <v>256</v>
      </c>
      <c r="J125" s="11" t="s">
        <v>56</v>
      </c>
      <c r="K125" s="13" t="n">
        <v>170</v>
      </c>
      <c r="L125" s="13" t="n">
        <v>390</v>
      </c>
      <c r="M125" s="13" t="n">
        <f aca="false">K125+L125</f>
        <v>560</v>
      </c>
      <c r="N125" s="19" t="n">
        <v>10.2</v>
      </c>
      <c r="O125" s="19" t="n">
        <f aca="false">IF(N125&lt;=35,1,0.25)*M125/(N125+10)*IF(ISNUMBER(SEARCH("KD mismatch",U125)),0.25,1)</f>
        <v>27.7227722772277</v>
      </c>
      <c r="P125" s="20" t="str">
        <f aca="false">IF(N125&lt;=10,"Quick win",IF(N125&lt;=20,"Strong",IF(N125&lt;=35,"Moderate","Stretch")))</f>
        <v>Strong</v>
      </c>
      <c r="Q125" s="12"/>
      <c r="R125" s="12"/>
      <c r="S125" s="12" t="s">
        <v>1127</v>
      </c>
      <c r="T125" s="12"/>
      <c r="U125" s="12"/>
      <c r="V125" s="14" t="s">
        <v>203</v>
      </c>
      <c r="W125" s="14"/>
      <c r="X125" s="15"/>
      <c r="Y125" s="14"/>
      <c r="Z125" s="24"/>
    </row>
    <row r="126" customFormat="false" ht="23.85" hidden="false" customHeight="false" outlineLevel="0" collapsed="false">
      <c r="A126" s="11" t="n">
        <v>125</v>
      </c>
      <c r="B126" s="11" t="s">
        <v>3</v>
      </c>
      <c r="C126" s="11" t="s">
        <v>1128</v>
      </c>
      <c r="D126" s="11" t="s">
        <v>1129</v>
      </c>
      <c r="E126" s="20" t="s">
        <v>648</v>
      </c>
      <c r="F126" s="11" t="s">
        <v>1130</v>
      </c>
      <c r="G126" s="11" t="s">
        <v>133</v>
      </c>
      <c r="H126" s="11" t="s">
        <v>247</v>
      </c>
      <c r="I126" s="11" t="s">
        <v>133</v>
      </c>
      <c r="J126" s="11" t="s">
        <v>71</v>
      </c>
      <c r="K126" s="13" t="n">
        <v>390</v>
      </c>
      <c r="L126" s="13" t="n">
        <v>50</v>
      </c>
      <c r="M126" s="13" t="n">
        <f aca="false">K126+L126</f>
        <v>440</v>
      </c>
      <c r="N126" s="19" t="n">
        <v>6</v>
      </c>
      <c r="O126" s="19" t="n">
        <f aca="false">IF(N126&lt;=35,1,0.25)*M126/(N126+10)*IF(ISNUMBER(SEARCH("KD mismatch",U126)),0.25,1)</f>
        <v>27.5</v>
      </c>
      <c r="P126" s="20" t="str">
        <f aca="false">IF(N126&lt;=10,"Quick win",IF(N126&lt;=20,"Strong",IF(N126&lt;=35,"Moderate","Stretch")))</f>
        <v>Quick win</v>
      </c>
      <c r="Q126" s="12"/>
      <c r="R126" s="12"/>
      <c r="S126" s="12" t="s">
        <v>1131</v>
      </c>
      <c r="T126" s="12"/>
      <c r="U126" s="12"/>
      <c r="V126" s="14" t="s">
        <v>203</v>
      </c>
      <c r="W126" s="14"/>
      <c r="X126" s="15"/>
      <c r="Y126" s="14"/>
      <c r="Z126" s="24"/>
    </row>
    <row r="127" customFormat="false" ht="23.85" hidden="false" customHeight="false" outlineLevel="0" collapsed="false">
      <c r="A127" s="11" t="n">
        <v>126</v>
      </c>
      <c r="B127" s="11" t="s">
        <v>3</v>
      </c>
      <c r="C127" s="11" t="s">
        <v>1132</v>
      </c>
      <c r="D127" s="11" t="s">
        <v>1133</v>
      </c>
      <c r="E127" s="20" t="s">
        <v>648</v>
      </c>
      <c r="F127" s="11" t="s">
        <v>649</v>
      </c>
      <c r="G127" s="11" t="s">
        <v>298</v>
      </c>
      <c r="H127" s="11" t="s">
        <v>214</v>
      </c>
      <c r="I127" s="11" t="s">
        <v>298</v>
      </c>
      <c r="J127" s="11" t="s">
        <v>71</v>
      </c>
      <c r="K127" s="13" t="n">
        <v>330</v>
      </c>
      <c r="L127" s="13" t="n">
        <v>360</v>
      </c>
      <c r="M127" s="13" t="n">
        <f aca="false">K127+L127</f>
        <v>690</v>
      </c>
      <c r="N127" s="19" t="n">
        <v>15.3</v>
      </c>
      <c r="O127" s="19" t="n">
        <f aca="false">IF(N127&lt;=35,1,0.25)*M127/(N127+10)*IF(ISNUMBER(SEARCH("KD mismatch",U127)),0.25,1)</f>
        <v>27.2727272727273</v>
      </c>
      <c r="P127" s="20" t="str">
        <f aca="false">IF(N127&lt;=10,"Quick win",IF(N127&lt;=20,"Strong",IF(N127&lt;=35,"Moderate","Stretch")))</f>
        <v>Strong</v>
      </c>
      <c r="Q127" s="12" t="s">
        <v>1134</v>
      </c>
      <c r="R127" s="12" t="s">
        <v>1135</v>
      </c>
      <c r="S127" s="12" t="s">
        <v>1136</v>
      </c>
      <c r="T127" s="12"/>
      <c r="U127" s="12"/>
      <c r="V127" s="14" t="s">
        <v>203</v>
      </c>
      <c r="W127" s="14"/>
      <c r="X127" s="15"/>
      <c r="Y127" s="14"/>
      <c r="Z127" s="24"/>
    </row>
    <row r="128" customFormat="false" ht="23.85" hidden="false" customHeight="false" outlineLevel="0" collapsed="false">
      <c r="A128" s="11" t="n">
        <v>127</v>
      </c>
      <c r="B128" s="11" t="s">
        <v>3</v>
      </c>
      <c r="C128" s="11" t="s">
        <v>1137</v>
      </c>
      <c r="D128" s="11" t="s">
        <v>1138</v>
      </c>
      <c r="E128" s="20" t="s">
        <v>648</v>
      </c>
      <c r="F128" s="11" t="s">
        <v>692</v>
      </c>
      <c r="G128" s="11" t="s">
        <v>287</v>
      </c>
      <c r="H128" s="11" t="s">
        <v>664</v>
      </c>
      <c r="I128" s="11" t="s">
        <v>287</v>
      </c>
      <c r="J128" s="11" t="s">
        <v>71</v>
      </c>
      <c r="K128" s="13" t="n">
        <v>170</v>
      </c>
      <c r="L128" s="13" t="n">
        <v>210</v>
      </c>
      <c r="M128" s="13" t="n">
        <f aca="false">K128+L128</f>
        <v>380</v>
      </c>
      <c r="N128" s="19" t="n">
        <v>4</v>
      </c>
      <c r="O128" s="19" t="n">
        <f aca="false">IF(N128&lt;=35,1,0.25)*M128/(N128+10)*IF(ISNUMBER(SEARCH("KD mismatch",U128)),0.25,1)</f>
        <v>27.1428571428571</v>
      </c>
      <c r="P128" s="20" t="str">
        <f aca="false">IF(N128&lt;=10,"Quick win",IF(N128&lt;=20,"Strong",IF(N128&lt;=35,"Moderate","Stretch")))</f>
        <v>Quick win</v>
      </c>
      <c r="Q128" s="12"/>
      <c r="R128" s="12"/>
      <c r="S128" s="12" t="s">
        <v>1139</v>
      </c>
      <c r="T128" s="12"/>
      <c r="U128" s="12"/>
      <c r="V128" s="14" t="s">
        <v>203</v>
      </c>
      <c r="W128" s="14"/>
      <c r="X128" s="15"/>
      <c r="Y128" s="14"/>
      <c r="Z128" s="24"/>
    </row>
    <row r="129" customFormat="false" ht="23.85" hidden="false" customHeight="false" outlineLevel="0" collapsed="false">
      <c r="A129" s="11" t="n">
        <v>128</v>
      </c>
      <c r="B129" s="11" t="s">
        <v>3</v>
      </c>
      <c r="C129" s="11" t="s">
        <v>1140</v>
      </c>
      <c r="D129" s="11" t="s">
        <v>1141</v>
      </c>
      <c r="E129" s="20" t="s">
        <v>627</v>
      </c>
      <c r="F129" s="11" t="s">
        <v>859</v>
      </c>
      <c r="G129" s="11" t="s">
        <v>204</v>
      </c>
      <c r="H129" s="11" t="s">
        <v>204</v>
      </c>
      <c r="I129" s="11" t="s">
        <v>204</v>
      </c>
      <c r="J129" s="11" t="s">
        <v>183</v>
      </c>
      <c r="K129" s="13" t="n">
        <v>210</v>
      </c>
      <c r="L129" s="13" t="n">
        <v>210</v>
      </c>
      <c r="M129" s="13" t="n">
        <f aca="false">K129+L129</f>
        <v>420</v>
      </c>
      <c r="N129" s="19" t="n">
        <v>5.5</v>
      </c>
      <c r="O129" s="19" t="n">
        <f aca="false">IF(N129&lt;=35,1,0.25)*M129/(N129+10)*IF(ISNUMBER(SEARCH("KD mismatch",U129)),0.25,1)</f>
        <v>27.0967741935484</v>
      </c>
      <c r="P129" s="20" t="str">
        <f aca="false">IF(N129&lt;=10,"Quick win",IF(N129&lt;=20,"Strong",IF(N129&lt;=35,"Moderate","Stretch")))</f>
        <v>Quick win</v>
      </c>
      <c r="Q129" s="12"/>
      <c r="R129" s="12"/>
      <c r="S129" s="12" t="s">
        <v>1142</v>
      </c>
      <c r="T129" s="12"/>
      <c r="U129" s="12"/>
      <c r="V129" s="14" t="s">
        <v>203</v>
      </c>
      <c r="W129" s="14"/>
      <c r="X129" s="15"/>
      <c r="Y129" s="14"/>
      <c r="Z129" s="24"/>
    </row>
    <row r="130" customFormat="false" ht="15" hidden="false" customHeight="false" outlineLevel="0" collapsed="false">
      <c r="A130" s="11" t="n">
        <v>129</v>
      </c>
      <c r="B130" s="11" t="s">
        <v>3</v>
      </c>
      <c r="C130" s="11" t="s">
        <v>1143</v>
      </c>
      <c r="D130" s="11" t="s">
        <v>1144</v>
      </c>
      <c r="E130" s="20" t="s">
        <v>648</v>
      </c>
      <c r="F130" s="11" t="s">
        <v>1145</v>
      </c>
      <c r="G130" s="11" t="s">
        <v>1146</v>
      </c>
      <c r="H130" s="11" t="s">
        <v>406</v>
      </c>
      <c r="I130" s="11" t="s">
        <v>406</v>
      </c>
      <c r="J130" s="11" t="s">
        <v>143</v>
      </c>
      <c r="K130" s="13" t="n">
        <v>590</v>
      </c>
      <c r="L130" s="13" t="n">
        <v>0</v>
      </c>
      <c r="M130" s="13" t="n">
        <f aca="false">K130+L130</f>
        <v>590</v>
      </c>
      <c r="N130" s="19" t="n">
        <v>12</v>
      </c>
      <c r="O130" s="19" t="n">
        <f aca="false">IF(N130&lt;=35,1,0.25)*M130/(N130+10)*IF(ISNUMBER(SEARCH("KD mismatch",U130)),0.25,1)</f>
        <v>26.8181818181818</v>
      </c>
      <c r="P130" s="20" t="str">
        <f aca="false">IF(N130&lt;=10,"Quick win",IF(N130&lt;=20,"Strong",IF(N130&lt;=35,"Moderate","Stretch")))</f>
        <v>Strong</v>
      </c>
      <c r="Q130" s="12"/>
      <c r="R130" s="12"/>
      <c r="S130" s="12" t="s">
        <v>1147</v>
      </c>
      <c r="T130" s="12"/>
      <c r="U130" s="12" t="s">
        <v>667</v>
      </c>
      <c r="V130" s="14" t="s">
        <v>203</v>
      </c>
      <c r="W130" s="14"/>
      <c r="X130" s="15"/>
      <c r="Y130" s="14"/>
      <c r="Z130" s="24"/>
    </row>
    <row r="131" customFormat="false" ht="23.85" hidden="false" customHeight="false" outlineLevel="0" collapsed="false">
      <c r="A131" s="11" t="n">
        <v>130</v>
      </c>
      <c r="B131" s="11" t="s">
        <v>3</v>
      </c>
      <c r="C131" s="11" t="s">
        <v>1148</v>
      </c>
      <c r="D131" s="11" t="s">
        <v>1149</v>
      </c>
      <c r="E131" s="20" t="s">
        <v>627</v>
      </c>
      <c r="F131" s="11" t="s">
        <v>642</v>
      </c>
      <c r="G131" s="11" t="s">
        <v>1150</v>
      </c>
      <c r="H131" s="11" t="s">
        <v>337</v>
      </c>
      <c r="I131" s="11" t="s">
        <v>337</v>
      </c>
      <c r="J131" s="11" t="s">
        <v>56</v>
      </c>
      <c r="K131" s="13" t="n">
        <v>590</v>
      </c>
      <c r="L131" s="13" t="n">
        <v>0</v>
      </c>
      <c r="M131" s="13" t="n">
        <f aca="false">K131+L131</f>
        <v>590</v>
      </c>
      <c r="N131" s="19" t="n">
        <v>12</v>
      </c>
      <c r="O131" s="19" t="n">
        <f aca="false">IF(N131&lt;=35,1,0.25)*M131/(N131+10)*IF(ISNUMBER(SEARCH("KD mismatch",U131)),0.25,1)</f>
        <v>26.8181818181818</v>
      </c>
      <c r="P131" s="20" t="str">
        <f aca="false">IF(N131&lt;=10,"Quick win",IF(N131&lt;=20,"Strong",IF(N131&lt;=35,"Moderate","Stretch")))</f>
        <v>Strong</v>
      </c>
      <c r="Q131" s="12"/>
      <c r="R131" s="12"/>
      <c r="S131" s="12" t="s">
        <v>1151</v>
      </c>
      <c r="T131" s="12"/>
      <c r="U131" s="12"/>
      <c r="V131" s="14" t="s">
        <v>203</v>
      </c>
      <c r="W131" s="14"/>
      <c r="X131" s="15"/>
      <c r="Y131" s="14"/>
      <c r="Z131" s="24"/>
    </row>
    <row r="132" customFormat="false" ht="23.85" hidden="false" customHeight="false" outlineLevel="0" collapsed="false">
      <c r="A132" s="11" t="n">
        <v>131</v>
      </c>
      <c r="B132" s="11" t="s">
        <v>3</v>
      </c>
      <c r="C132" s="11" t="s">
        <v>1152</v>
      </c>
      <c r="D132" s="11" t="s">
        <v>1153</v>
      </c>
      <c r="E132" s="20" t="s">
        <v>627</v>
      </c>
      <c r="F132" s="11" t="s">
        <v>642</v>
      </c>
      <c r="G132" s="11" t="s">
        <v>348</v>
      </c>
      <c r="H132" s="11" t="s">
        <v>232</v>
      </c>
      <c r="I132" s="11" t="s">
        <v>348</v>
      </c>
      <c r="J132" s="11" t="s">
        <v>56</v>
      </c>
      <c r="K132" s="13" t="n">
        <v>0</v>
      </c>
      <c r="L132" s="13" t="n">
        <v>480</v>
      </c>
      <c r="M132" s="13" t="n">
        <f aca="false">K132+L132</f>
        <v>480</v>
      </c>
      <c r="N132" s="19" t="n">
        <v>8</v>
      </c>
      <c r="O132" s="19" t="n">
        <f aca="false">IF(N132&lt;=35,1,0.25)*M132/(N132+10)*IF(ISNUMBER(SEARCH("KD mismatch",U132)),0.25,1)</f>
        <v>26.6666666666667</v>
      </c>
      <c r="P132" s="20" t="str">
        <f aca="false">IF(N132&lt;=10,"Quick win",IF(N132&lt;=20,"Strong",IF(N132&lt;=35,"Moderate","Stretch")))</f>
        <v>Quick win</v>
      </c>
      <c r="Q132" s="12"/>
      <c r="R132" s="12"/>
      <c r="S132" s="12" t="s">
        <v>1154</v>
      </c>
      <c r="T132" s="12"/>
      <c r="U132" s="12"/>
      <c r="V132" s="14" t="s">
        <v>203</v>
      </c>
      <c r="W132" s="14"/>
      <c r="X132" s="15"/>
      <c r="Y132" s="14"/>
      <c r="Z132" s="24"/>
    </row>
    <row r="133" customFormat="false" ht="23.85" hidden="false" customHeight="false" outlineLevel="0" collapsed="false">
      <c r="A133" s="11" t="n">
        <v>132</v>
      </c>
      <c r="B133" s="11" t="s">
        <v>3</v>
      </c>
      <c r="C133" s="11" t="s">
        <v>1155</v>
      </c>
      <c r="D133" s="11" t="s">
        <v>1156</v>
      </c>
      <c r="E133" s="20" t="s">
        <v>627</v>
      </c>
      <c r="F133" s="11" t="s">
        <v>642</v>
      </c>
      <c r="G133" s="11" t="s">
        <v>1157</v>
      </c>
      <c r="H133" s="11" t="s">
        <v>228</v>
      </c>
      <c r="I133" s="11" t="s">
        <v>228</v>
      </c>
      <c r="J133" s="11" t="s">
        <v>56</v>
      </c>
      <c r="K133" s="13" t="n">
        <v>260</v>
      </c>
      <c r="L133" s="13" t="n">
        <v>140</v>
      </c>
      <c r="M133" s="13" t="n">
        <f aca="false">K133+L133</f>
        <v>400</v>
      </c>
      <c r="N133" s="19" t="n">
        <v>5</v>
      </c>
      <c r="O133" s="19" t="n">
        <f aca="false">IF(N133&lt;=35,1,0.25)*M133/(N133+10)*IF(ISNUMBER(SEARCH("KD mismatch",U133)),0.25,1)</f>
        <v>26.6666666666667</v>
      </c>
      <c r="P133" s="20" t="str">
        <f aca="false">IF(N133&lt;=10,"Quick win",IF(N133&lt;=20,"Strong",IF(N133&lt;=35,"Moderate","Stretch")))</f>
        <v>Quick win</v>
      </c>
      <c r="Q133" s="12"/>
      <c r="R133" s="12"/>
      <c r="S133" s="12" t="s">
        <v>1158</v>
      </c>
      <c r="T133" s="12"/>
      <c r="U133" s="12"/>
      <c r="V133" s="14" t="s">
        <v>203</v>
      </c>
      <c r="W133" s="14"/>
      <c r="X133" s="15"/>
      <c r="Y133" s="14"/>
      <c r="Z133" s="24"/>
    </row>
    <row r="134" customFormat="false" ht="23.85" hidden="false" customHeight="false" outlineLevel="0" collapsed="false">
      <c r="A134" s="11" t="n">
        <v>133</v>
      </c>
      <c r="B134" s="11" t="s">
        <v>3</v>
      </c>
      <c r="C134" s="11" t="s">
        <v>1159</v>
      </c>
      <c r="D134" s="11" t="s">
        <v>1160</v>
      </c>
      <c r="E134" s="20" t="s">
        <v>627</v>
      </c>
      <c r="F134" s="11" t="s">
        <v>642</v>
      </c>
      <c r="G134" s="11" t="s">
        <v>1092</v>
      </c>
      <c r="H134" s="11" t="s">
        <v>196</v>
      </c>
      <c r="I134" s="11" t="s">
        <v>196</v>
      </c>
      <c r="J134" s="11" t="s">
        <v>56</v>
      </c>
      <c r="K134" s="13" t="n">
        <v>0</v>
      </c>
      <c r="L134" s="13" t="n">
        <v>480</v>
      </c>
      <c r="M134" s="13" t="n">
        <f aca="false">K134+L134</f>
        <v>480</v>
      </c>
      <c r="N134" s="19" t="n">
        <v>8</v>
      </c>
      <c r="O134" s="19" t="n">
        <f aca="false">IF(N134&lt;=35,1,0.25)*M134/(N134+10)*IF(ISNUMBER(SEARCH("KD mismatch",U134)),0.25,1)</f>
        <v>26.6666666666667</v>
      </c>
      <c r="P134" s="20" t="str">
        <f aca="false">IF(N134&lt;=10,"Quick win",IF(N134&lt;=20,"Strong",IF(N134&lt;=35,"Moderate","Stretch")))</f>
        <v>Quick win</v>
      </c>
      <c r="Q134" s="12"/>
      <c r="R134" s="12"/>
      <c r="S134" s="12" t="s">
        <v>979</v>
      </c>
      <c r="T134" s="12" t="s">
        <v>818</v>
      </c>
      <c r="U134" s="12"/>
      <c r="V134" s="14" t="s">
        <v>203</v>
      </c>
      <c r="W134" s="14"/>
      <c r="X134" s="15"/>
      <c r="Y134" s="14"/>
      <c r="Z134" s="24"/>
    </row>
    <row r="135" customFormat="false" ht="23.85" hidden="false" customHeight="false" outlineLevel="0" collapsed="false">
      <c r="A135" s="11" t="n">
        <v>134</v>
      </c>
      <c r="B135" s="11" t="s">
        <v>3</v>
      </c>
      <c r="C135" s="11" t="s">
        <v>1161</v>
      </c>
      <c r="D135" s="11" t="s">
        <v>1162</v>
      </c>
      <c r="E135" s="20" t="s">
        <v>627</v>
      </c>
      <c r="F135" s="11" t="s">
        <v>642</v>
      </c>
      <c r="G135" s="11" t="s">
        <v>305</v>
      </c>
      <c r="H135" s="11" t="s">
        <v>247</v>
      </c>
      <c r="I135" s="11" t="s">
        <v>305</v>
      </c>
      <c r="J135" s="11" t="s">
        <v>56</v>
      </c>
      <c r="K135" s="13" t="n">
        <v>40</v>
      </c>
      <c r="L135" s="13" t="n">
        <v>390</v>
      </c>
      <c r="M135" s="13" t="n">
        <f aca="false">K135+L135</f>
        <v>430</v>
      </c>
      <c r="N135" s="19" t="n">
        <v>6.2</v>
      </c>
      <c r="O135" s="19" t="n">
        <f aca="false">IF(N135&lt;=35,1,0.25)*M135/(N135+10)*IF(ISNUMBER(SEARCH("KD mismatch",U135)),0.25,1)</f>
        <v>26.5432098765432</v>
      </c>
      <c r="P135" s="20" t="str">
        <f aca="false">IF(N135&lt;=10,"Quick win",IF(N135&lt;=20,"Strong",IF(N135&lt;=35,"Moderate","Stretch")))</f>
        <v>Quick win</v>
      </c>
      <c r="Q135" s="12"/>
      <c r="R135" s="12"/>
      <c r="S135" s="12" t="s">
        <v>1163</v>
      </c>
      <c r="T135" s="12"/>
      <c r="U135" s="12"/>
      <c r="V135" s="14" t="s">
        <v>203</v>
      </c>
      <c r="W135" s="14"/>
      <c r="X135" s="15"/>
      <c r="Y135" s="14"/>
      <c r="Z135" s="24"/>
    </row>
    <row r="136" customFormat="false" ht="23.85" hidden="false" customHeight="false" outlineLevel="0" collapsed="false">
      <c r="A136" s="11" t="n">
        <v>135</v>
      </c>
      <c r="B136" s="11" t="s">
        <v>3</v>
      </c>
      <c r="C136" s="11" t="s">
        <v>1164</v>
      </c>
      <c r="D136" s="11" t="s">
        <v>1165</v>
      </c>
      <c r="E136" s="20" t="s">
        <v>648</v>
      </c>
      <c r="F136" s="11" t="s">
        <v>692</v>
      </c>
      <c r="G136" s="11" t="s">
        <v>267</v>
      </c>
      <c r="H136" s="11" t="s">
        <v>232</v>
      </c>
      <c r="I136" s="11" t="s">
        <v>267</v>
      </c>
      <c r="J136" s="11" t="s">
        <v>71</v>
      </c>
      <c r="K136" s="13" t="n">
        <v>390</v>
      </c>
      <c r="L136" s="13" t="n">
        <v>0</v>
      </c>
      <c r="M136" s="13" t="n">
        <f aca="false">K136+L136</f>
        <v>390</v>
      </c>
      <c r="N136" s="19" t="n">
        <v>5</v>
      </c>
      <c r="O136" s="19" t="n">
        <f aca="false">IF(N136&lt;=35,1,0.25)*M136/(N136+10)*IF(ISNUMBER(SEARCH("KD mismatch",U136)),0.25,1)</f>
        <v>26</v>
      </c>
      <c r="P136" s="20" t="str">
        <f aca="false">IF(N136&lt;=10,"Quick win",IF(N136&lt;=20,"Strong",IF(N136&lt;=35,"Moderate","Stretch")))</f>
        <v>Quick win</v>
      </c>
      <c r="Q136" s="12"/>
      <c r="R136" s="12"/>
      <c r="S136" s="12" t="s">
        <v>1166</v>
      </c>
      <c r="T136" s="12"/>
      <c r="U136" s="12"/>
      <c r="V136" s="14" t="s">
        <v>203</v>
      </c>
      <c r="W136" s="14"/>
      <c r="X136" s="15"/>
      <c r="Y136" s="14"/>
      <c r="Z136" s="24"/>
    </row>
    <row r="137" customFormat="false" ht="23.85" hidden="false" customHeight="false" outlineLevel="0" collapsed="false">
      <c r="A137" s="11" t="n">
        <v>136</v>
      </c>
      <c r="B137" s="11" t="s">
        <v>3</v>
      </c>
      <c r="C137" s="11" t="s">
        <v>1167</v>
      </c>
      <c r="D137" s="11" t="s">
        <v>1168</v>
      </c>
      <c r="E137" s="20" t="s">
        <v>627</v>
      </c>
      <c r="F137" s="11" t="s">
        <v>642</v>
      </c>
      <c r="G137" s="11" t="s">
        <v>1169</v>
      </c>
      <c r="H137" s="11" t="s">
        <v>232</v>
      </c>
      <c r="I137" s="11" t="s">
        <v>232</v>
      </c>
      <c r="J137" s="11" t="s">
        <v>56</v>
      </c>
      <c r="K137" s="13" t="n">
        <v>0</v>
      </c>
      <c r="L137" s="13" t="n">
        <v>390</v>
      </c>
      <c r="M137" s="13" t="n">
        <f aca="false">K137+L137</f>
        <v>390</v>
      </c>
      <c r="N137" s="19" t="n">
        <v>5</v>
      </c>
      <c r="O137" s="19" t="n">
        <f aca="false">IF(N137&lt;=35,1,0.25)*M137/(N137+10)*IF(ISNUMBER(SEARCH("KD mismatch",U137)),0.25,1)</f>
        <v>26</v>
      </c>
      <c r="P137" s="20" t="str">
        <f aca="false">IF(N137&lt;=10,"Quick win",IF(N137&lt;=20,"Strong",IF(N137&lt;=35,"Moderate","Stretch")))</f>
        <v>Quick win</v>
      </c>
      <c r="Q137" s="12"/>
      <c r="R137" s="12"/>
      <c r="S137" s="12" t="s">
        <v>1170</v>
      </c>
      <c r="T137" s="12"/>
      <c r="U137" s="12"/>
      <c r="V137" s="14" t="s">
        <v>203</v>
      </c>
      <c r="W137" s="14"/>
      <c r="X137" s="15"/>
      <c r="Y137" s="14"/>
      <c r="Z137" s="24"/>
    </row>
    <row r="138" customFormat="false" ht="23.85" hidden="false" customHeight="false" outlineLevel="0" collapsed="false">
      <c r="A138" s="11" t="n">
        <v>137</v>
      </c>
      <c r="B138" s="11" t="s">
        <v>3</v>
      </c>
      <c r="C138" s="11" t="s">
        <v>1171</v>
      </c>
      <c r="D138" s="11" t="s">
        <v>1172</v>
      </c>
      <c r="E138" s="20" t="s">
        <v>648</v>
      </c>
      <c r="F138" s="11" t="s">
        <v>700</v>
      </c>
      <c r="G138" s="11" t="s">
        <v>142</v>
      </c>
      <c r="H138" s="11" t="s">
        <v>664</v>
      </c>
      <c r="I138" s="11" t="s">
        <v>142</v>
      </c>
      <c r="J138" s="11" t="s">
        <v>143</v>
      </c>
      <c r="K138" s="13" t="n">
        <v>210</v>
      </c>
      <c r="L138" s="13" t="n">
        <v>320</v>
      </c>
      <c r="M138" s="13" t="n">
        <f aca="false">K138+L138</f>
        <v>530</v>
      </c>
      <c r="N138" s="19" t="n">
        <v>10.6</v>
      </c>
      <c r="O138" s="19" t="n">
        <f aca="false">IF(N138&lt;=35,1,0.25)*M138/(N138+10)*IF(ISNUMBER(SEARCH("KD mismatch",U138)),0.25,1)</f>
        <v>25.7281553398058</v>
      </c>
      <c r="P138" s="20" t="str">
        <f aca="false">IF(N138&lt;=10,"Quick win",IF(N138&lt;=20,"Strong",IF(N138&lt;=35,"Moderate","Stretch")))</f>
        <v>Strong</v>
      </c>
      <c r="Q138" s="12"/>
      <c r="R138" s="12"/>
      <c r="S138" s="12" t="s">
        <v>1173</v>
      </c>
      <c r="T138" s="12"/>
      <c r="U138" s="12"/>
      <c r="V138" s="14" t="s">
        <v>203</v>
      </c>
      <c r="W138" s="14"/>
      <c r="X138" s="15"/>
      <c r="Y138" s="14"/>
      <c r="Z138" s="24"/>
    </row>
    <row r="139" customFormat="false" ht="23.85" hidden="false" customHeight="false" outlineLevel="0" collapsed="false">
      <c r="A139" s="11" t="n">
        <v>138</v>
      </c>
      <c r="B139" s="11" t="s">
        <v>3</v>
      </c>
      <c r="C139" s="11" t="s">
        <v>1174</v>
      </c>
      <c r="D139" s="11" t="s">
        <v>1175</v>
      </c>
      <c r="E139" s="20" t="s">
        <v>648</v>
      </c>
      <c r="F139" s="11" t="s">
        <v>700</v>
      </c>
      <c r="G139" s="11" t="s">
        <v>913</v>
      </c>
      <c r="H139" s="11" t="s">
        <v>214</v>
      </c>
      <c r="I139" s="11" t="s">
        <v>214</v>
      </c>
      <c r="J139" s="11" t="s">
        <v>143</v>
      </c>
      <c r="K139" s="13" t="n">
        <v>590</v>
      </c>
      <c r="L139" s="13" t="n">
        <v>0</v>
      </c>
      <c r="M139" s="13" t="n">
        <f aca="false">K139+L139</f>
        <v>590</v>
      </c>
      <c r="N139" s="19" t="n">
        <v>13</v>
      </c>
      <c r="O139" s="19" t="n">
        <f aca="false">IF(N139&lt;=35,1,0.25)*M139/(N139+10)*IF(ISNUMBER(SEARCH("KD mismatch",U139)),0.25,1)</f>
        <v>25.6521739130435</v>
      </c>
      <c r="P139" s="20" t="str">
        <f aca="false">IF(N139&lt;=10,"Quick win",IF(N139&lt;=20,"Strong",IF(N139&lt;=35,"Moderate","Stretch")))</f>
        <v>Strong</v>
      </c>
      <c r="Q139" s="12"/>
      <c r="R139" s="12"/>
      <c r="S139" s="12" t="s">
        <v>1176</v>
      </c>
      <c r="T139" s="12"/>
      <c r="U139" s="12"/>
      <c r="V139" s="14" t="s">
        <v>203</v>
      </c>
      <c r="W139" s="14"/>
      <c r="X139" s="15"/>
      <c r="Y139" s="14"/>
      <c r="Z139" s="24"/>
    </row>
    <row r="140" customFormat="false" ht="23.85" hidden="false" customHeight="false" outlineLevel="0" collapsed="false">
      <c r="A140" s="11" t="n">
        <v>139</v>
      </c>
      <c r="B140" s="11" t="s">
        <v>3</v>
      </c>
      <c r="C140" s="11" t="s">
        <v>1177</v>
      </c>
      <c r="D140" s="11" t="s">
        <v>1178</v>
      </c>
      <c r="E140" s="20" t="s">
        <v>627</v>
      </c>
      <c r="F140" s="11" t="s">
        <v>642</v>
      </c>
      <c r="G140" s="11" t="s">
        <v>1179</v>
      </c>
      <c r="H140" s="11" t="s">
        <v>214</v>
      </c>
      <c r="I140" s="11" t="s">
        <v>214</v>
      </c>
      <c r="J140" s="11" t="s">
        <v>56</v>
      </c>
      <c r="K140" s="13" t="n">
        <v>590</v>
      </c>
      <c r="L140" s="13" t="n">
        <v>0</v>
      </c>
      <c r="M140" s="13" t="n">
        <f aca="false">K140+L140</f>
        <v>590</v>
      </c>
      <c r="N140" s="19" t="n">
        <v>13</v>
      </c>
      <c r="O140" s="19" t="n">
        <f aca="false">IF(N140&lt;=35,1,0.25)*M140/(N140+10)*IF(ISNUMBER(SEARCH("KD mismatch",U140)),0.25,1)</f>
        <v>25.6521739130435</v>
      </c>
      <c r="P140" s="20" t="str">
        <f aca="false">IF(N140&lt;=10,"Quick win",IF(N140&lt;=20,"Strong",IF(N140&lt;=35,"Moderate","Stretch")))</f>
        <v>Strong</v>
      </c>
      <c r="Q140" s="12"/>
      <c r="R140" s="12"/>
      <c r="S140" s="12" t="s">
        <v>1180</v>
      </c>
      <c r="T140" s="12"/>
      <c r="U140" s="12"/>
      <c r="V140" s="14" t="s">
        <v>203</v>
      </c>
      <c r="W140" s="14"/>
      <c r="X140" s="15"/>
      <c r="Y140" s="14"/>
      <c r="Z140" s="24"/>
    </row>
    <row r="141" customFormat="false" ht="23.85" hidden="false" customHeight="false" outlineLevel="0" collapsed="false">
      <c r="A141" s="11" t="n">
        <v>140</v>
      </c>
      <c r="B141" s="11" t="s">
        <v>3</v>
      </c>
      <c r="C141" s="11" t="s">
        <v>1181</v>
      </c>
      <c r="D141" s="11" t="s">
        <v>1182</v>
      </c>
      <c r="E141" s="20" t="s">
        <v>648</v>
      </c>
      <c r="F141" s="11" t="s">
        <v>850</v>
      </c>
      <c r="G141" s="11" t="s">
        <v>279</v>
      </c>
      <c r="H141" s="11" t="s">
        <v>214</v>
      </c>
      <c r="I141" s="11" t="s">
        <v>279</v>
      </c>
      <c r="J141" s="11" t="s">
        <v>71</v>
      </c>
      <c r="K141" s="13" t="n">
        <v>740</v>
      </c>
      <c r="L141" s="13" t="n">
        <v>50</v>
      </c>
      <c r="M141" s="13" t="n">
        <f aca="false">K141+L141</f>
        <v>790</v>
      </c>
      <c r="N141" s="19" t="n">
        <v>20.9</v>
      </c>
      <c r="O141" s="19" t="n">
        <f aca="false">IF(N141&lt;=35,1,0.25)*M141/(N141+10)*IF(ISNUMBER(SEARCH("KD mismatch",U141)),0.25,1)</f>
        <v>25.5663430420712</v>
      </c>
      <c r="P141" s="20" t="str">
        <f aca="false">IF(N141&lt;=10,"Quick win",IF(N141&lt;=20,"Strong",IF(N141&lt;=35,"Moderate","Stretch")))</f>
        <v>Moderate</v>
      </c>
      <c r="Q141" s="12"/>
      <c r="R141" s="12"/>
      <c r="S141" s="12" t="s">
        <v>1183</v>
      </c>
      <c r="T141" s="12"/>
      <c r="U141" s="12"/>
      <c r="V141" s="14" t="s">
        <v>203</v>
      </c>
      <c r="W141" s="14"/>
      <c r="X141" s="15"/>
      <c r="Y141" s="14"/>
      <c r="Z141" s="24"/>
    </row>
    <row r="142" customFormat="false" ht="23.85" hidden="false" customHeight="false" outlineLevel="0" collapsed="false">
      <c r="A142" s="11" t="n">
        <v>141</v>
      </c>
      <c r="B142" s="11" t="s">
        <v>3</v>
      </c>
      <c r="C142" s="11" t="s">
        <v>1184</v>
      </c>
      <c r="D142" s="11" t="s">
        <v>1185</v>
      </c>
      <c r="E142" s="20" t="s">
        <v>648</v>
      </c>
      <c r="F142" s="11" t="s">
        <v>850</v>
      </c>
      <c r="G142" s="11" t="s">
        <v>282</v>
      </c>
      <c r="H142" s="11" t="s">
        <v>283</v>
      </c>
      <c r="I142" s="11" t="s">
        <v>282</v>
      </c>
      <c r="J142" s="11" t="s">
        <v>71</v>
      </c>
      <c r="K142" s="13" t="n">
        <v>480</v>
      </c>
      <c r="L142" s="13" t="n">
        <v>0</v>
      </c>
      <c r="M142" s="13" t="n">
        <f aca="false">K142+L142</f>
        <v>480</v>
      </c>
      <c r="N142" s="19" t="n">
        <v>9</v>
      </c>
      <c r="O142" s="19" t="n">
        <f aca="false">IF(N142&lt;=35,1,0.25)*M142/(N142+10)*IF(ISNUMBER(SEARCH("KD mismatch",U142)),0.25,1)</f>
        <v>25.2631578947368</v>
      </c>
      <c r="P142" s="20" t="str">
        <f aca="false">IF(N142&lt;=10,"Quick win",IF(N142&lt;=20,"Strong",IF(N142&lt;=35,"Moderate","Stretch")))</f>
        <v>Quick win</v>
      </c>
      <c r="Q142" s="12"/>
      <c r="R142" s="12"/>
      <c r="S142" s="12" t="s">
        <v>1186</v>
      </c>
      <c r="T142" s="12" t="s">
        <v>856</v>
      </c>
      <c r="U142" s="12"/>
      <c r="V142" s="14" t="s">
        <v>203</v>
      </c>
      <c r="W142" s="14"/>
      <c r="X142" s="15"/>
      <c r="Y142" s="14"/>
      <c r="Z142" s="24"/>
    </row>
    <row r="143" customFormat="false" ht="23.85" hidden="false" customHeight="false" outlineLevel="0" collapsed="false">
      <c r="A143" s="11" t="n">
        <v>142</v>
      </c>
      <c r="B143" s="11" t="s">
        <v>3</v>
      </c>
      <c r="C143" s="11" t="s">
        <v>1187</v>
      </c>
      <c r="D143" s="11" t="s">
        <v>1188</v>
      </c>
      <c r="E143" s="20" t="s">
        <v>627</v>
      </c>
      <c r="F143" s="11" t="s">
        <v>738</v>
      </c>
      <c r="G143" s="11" t="s">
        <v>196</v>
      </c>
      <c r="H143" s="11" t="s">
        <v>196</v>
      </c>
      <c r="I143" s="11" t="s">
        <v>196</v>
      </c>
      <c r="J143" s="11" t="s">
        <v>183</v>
      </c>
      <c r="K143" s="13" t="n">
        <v>0</v>
      </c>
      <c r="L143" s="13" t="n">
        <v>540</v>
      </c>
      <c r="M143" s="13" t="n">
        <f aca="false">K143+L143</f>
        <v>540</v>
      </c>
      <c r="N143" s="19" t="n">
        <v>12</v>
      </c>
      <c r="O143" s="19" t="n">
        <f aca="false">IF(N143&lt;=35,1,0.25)*M143/(N143+10)*IF(ISNUMBER(SEARCH("KD mismatch",U143)),0.25,1)</f>
        <v>24.5454545454545</v>
      </c>
      <c r="P143" s="20" t="str">
        <f aca="false">IF(N143&lt;=10,"Quick win",IF(N143&lt;=20,"Strong",IF(N143&lt;=35,"Moderate","Stretch")))</f>
        <v>Strong</v>
      </c>
      <c r="Q143" s="12"/>
      <c r="R143" s="12"/>
      <c r="S143" s="12" t="s">
        <v>1189</v>
      </c>
      <c r="T143" s="12"/>
      <c r="U143" s="12"/>
      <c r="V143" s="14" t="s">
        <v>203</v>
      </c>
      <c r="W143" s="14"/>
      <c r="X143" s="15"/>
      <c r="Y143" s="14"/>
      <c r="Z143" s="24"/>
    </row>
    <row r="144" customFormat="false" ht="23.85" hidden="false" customHeight="false" outlineLevel="0" collapsed="false">
      <c r="A144" s="11" t="n">
        <v>143</v>
      </c>
      <c r="B144" s="11" t="s">
        <v>3</v>
      </c>
      <c r="C144" s="11" t="s">
        <v>1190</v>
      </c>
      <c r="D144" s="11" t="s">
        <v>1191</v>
      </c>
      <c r="E144" s="20" t="s">
        <v>648</v>
      </c>
      <c r="F144" s="11" t="s">
        <v>784</v>
      </c>
      <c r="G144" s="11" t="s">
        <v>238</v>
      </c>
      <c r="H144" s="11" t="s">
        <v>204</v>
      </c>
      <c r="I144" s="11" t="s">
        <v>238</v>
      </c>
      <c r="J144" s="11" t="s">
        <v>143</v>
      </c>
      <c r="K144" s="13" t="n">
        <v>260</v>
      </c>
      <c r="L144" s="13" t="n">
        <v>320</v>
      </c>
      <c r="M144" s="13" t="n">
        <f aca="false">K144+L144</f>
        <v>580</v>
      </c>
      <c r="N144" s="19" t="n">
        <v>14.4</v>
      </c>
      <c r="O144" s="19" t="n">
        <f aca="false">IF(N144&lt;=35,1,0.25)*M144/(N144+10)*IF(ISNUMBER(SEARCH("KD mismatch",U144)),0.25,1)</f>
        <v>23.7704918032787</v>
      </c>
      <c r="P144" s="20" t="str">
        <f aca="false">IF(N144&lt;=10,"Quick win",IF(N144&lt;=20,"Strong",IF(N144&lt;=35,"Moderate","Stretch")))</f>
        <v>Strong</v>
      </c>
      <c r="Q144" s="12"/>
      <c r="R144" s="12"/>
      <c r="S144" s="12" t="s">
        <v>1192</v>
      </c>
      <c r="T144" s="12"/>
      <c r="U144" s="12"/>
      <c r="V144" s="14" t="s">
        <v>203</v>
      </c>
      <c r="W144" s="14"/>
      <c r="X144" s="15"/>
      <c r="Y144" s="14"/>
      <c r="Z144" s="24"/>
    </row>
    <row r="145" customFormat="false" ht="23.85" hidden="false" customHeight="false" outlineLevel="0" collapsed="false">
      <c r="A145" s="11" t="n">
        <v>144</v>
      </c>
      <c r="B145" s="11" t="s">
        <v>3</v>
      </c>
      <c r="C145" s="11" t="s">
        <v>1193</v>
      </c>
      <c r="D145" s="11" t="s">
        <v>1194</v>
      </c>
      <c r="E145" s="20" t="s">
        <v>648</v>
      </c>
      <c r="F145" s="11" t="s">
        <v>700</v>
      </c>
      <c r="G145" s="11" t="s">
        <v>1195</v>
      </c>
      <c r="H145" s="11" t="s">
        <v>214</v>
      </c>
      <c r="I145" s="11" t="s">
        <v>214</v>
      </c>
      <c r="J145" s="11" t="s">
        <v>143</v>
      </c>
      <c r="K145" s="13" t="n">
        <v>590</v>
      </c>
      <c r="L145" s="13" t="n">
        <v>0</v>
      </c>
      <c r="M145" s="13" t="n">
        <f aca="false">K145+L145</f>
        <v>590</v>
      </c>
      <c r="N145" s="19" t="n">
        <v>15</v>
      </c>
      <c r="O145" s="19" t="n">
        <f aca="false">IF(N145&lt;=35,1,0.25)*M145/(N145+10)*IF(ISNUMBER(SEARCH("KD mismatch",U145)),0.25,1)</f>
        <v>23.6</v>
      </c>
      <c r="P145" s="20" t="str">
        <f aca="false">IF(N145&lt;=10,"Quick win",IF(N145&lt;=20,"Strong",IF(N145&lt;=35,"Moderate","Stretch")))</f>
        <v>Strong</v>
      </c>
      <c r="Q145" s="12"/>
      <c r="R145" s="12"/>
      <c r="S145" s="12" t="s">
        <v>1196</v>
      </c>
      <c r="T145" s="12"/>
      <c r="U145" s="12"/>
      <c r="V145" s="14" t="s">
        <v>203</v>
      </c>
      <c r="W145" s="14"/>
      <c r="X145" s="15"/>
      <c r="Y145" s="14"/>
      <c r="Z145" s="24"/>
    </row>
    <row r="146" customFormat="false" ht="23.85" hidden="false" customHeight="false" outlineLevel="0" collapsed="false">
      <c r="A146" s="11" t="n">
        <v>145</v>
      </c>
      <c r="B146" s="11" t="s">
        <v>3</v>
      </c>
      <c r="C146" s="11" t="s">
        <v>1197</v>
      </c>
      <c r="D146" s="11" t="s">
        <v>1198</v>
      </c>
      <c r="E146" s="20" t="s">
        <v>627</v>
      </c>
      <c r="F146" s="11" t="s">
        <v>1199</v>
      </c>
      <c r="G146" s="11" t="s">
        <v>196</v>
      </c>
      <c r="H146" s="11" t="s">
        <v>196</v>
      </c>
      <c r="I146" s="11" t="s">
        <v>196</v>
      </c>
      <c r="J146" s="11" t="s">
        <v>184</v>
      </c>
      <c r="K146" s="13" t="n">
        <v>0</v>
      </c>
      <c r="L146" s="13" t="n">
        <v>590</v>
      </c>
      <c r="M146" s="13" t="n">
        <f aca="false">K146+L146</f>
        <v>590</v>
      </c>
      <c r="N146" s="19" t="n">
        <v>15</v>
      </c>
      <c r="O146" s="19" t="n">
        <f aca="false">IF(N146&lt;=35,1,0.25)*M146/(N146+10)*IF(ISNUMBER(SEARCH("KD mismatch",U146)),0.25,1)</f>
        <v>23.6</v>
      </c>
      <c r="P146" s="20" t="str">
        <f aca="false">IF(N146&lt;=10,"Quick win",IF(N146&lt;=20,"Strong",IF(N146&lt;=35,"Moderate","Stretch")))</f>
        <v>Strong</v>
      </c>
      <c r="Q146" s="12"/>
      <c r="R146" s="12"/>
      <c r="S146" s="12" t="s">
        <v>1200</v>
      </c>
      <c r="T146" s="12"/>
      <c r="U146" s="12"/>
      <c r="V146" s="14" t="s">
        <v>203</v>
      </c>
      <c r="W146" s="14"/>
      <c r="X146" s="15"/>
      <c r="Y146" s="14"/>
      <c r="Z146" s="24"/>
    </row>
    <row r="147" customFormat="false" ht="23.85" hidden="false" customHeight="false" outlineLevel="0" collapsed="false">
      <c r="A147" s="11" t="n">
        <v>146</v>
      </c>
      <c r="B147" s="11" t="s">
        <v>3</v>
      </c>
      <c r="C147" s="11" t="s">
        <v>1201</v>
      </c>
      <c r="D147" s="11" t="s">
        <v>1202</v>
      </c>
      <c r="E147" s="20" t="s">
        <v>648</v>
      </c>
      <c r="F147" s="11" t="s">
        <v>692</v>
      </c>
      <c r="G147" s="11" t="s">
        <v>80</v>
      </c>
      <c r="H147" s="11" t="s">
        <v>247</v>
      </c>
      <c r="I147" s="11" t="s">
        <v>80</v>
      </c>
      <c r="J147" s="11" t="s">
        <v>71</v>
      </c>
      <c r="K147" s="13" t="n">
        <v>320</v>
      </c>
      <c r="L147" s="13" t="n">
        <v>50</v>
      </c>
      <c r="M147" s="13" t="n">
        <f aca="false">K147+L147</f>
        <v>370</v>
      </c>
      <c r="N147" s="19" t="n">
        <v>5.9</v>
      </c>
      <c r="O147" s="19" t="n">
        <f aca="false">IF(N147&lt;=35,1,0.25)*M147/(N147+10)*IF(ISNUMBER(SEARCH("KD mismatch",U147)),0.25,1)</f>
        <v>23.2704402515723</v>
      </c>
      <c r="P147" s="20" t="str">
        <f aca="false">IF(N147&lt;=10,"Quick win",IF(N147&lt;=20,"Strong",IF(N147&lt;=35,"Moderate","Stretch")))</f>
        <v>Quick win</v>
      </c>
      <c r="Q147" s="12"/>
      <c r="R147" s="12"/>
      <c r="S147" s="12" t="s">
        <v>1203</v>
      </c>
      <c r="T147" s="12" t="s">
        <v>657</v>
      </c>
      <c r="U147" s="12"/>
      <c r="V147" s="14" t="s">
        <v>203</v>
      </c>
      <c r="W147" s="14"/>
      <c r="X147" s="15"/>
      <c r="Y147" s="14"/>
      <c r="Z147" s="24"/>
    </row>
    <row r="148" customFormat="false" ht="23.85" hidden="false" customHeight="false" outlineLevel="0" collapsed="false">
      <c r="A148" s="11" t="n">
        <v>147</v>
      </c>
      <c r="B148" s="11" t="s">
        <v>3</v>
      </c>
      <c r="C148" s="11" t="s">
        <v>1204</v>
      </c>
      <c r="D148" s="11" t="s">
        <v>1205</v>
      </c>
      <c r="E148" s="20" t="s">
        <v>627</v>
      </c>
      <c r="F148" s="11" t="s">
        <v>738</v>
      </c>
      <c r="G148" s="11" t="s">
        <v>263</v>
      </c>
      <c r="H148" s="11" t="s">
        <v>204</v>
      </c>
      <c r="I148" s="11" t="s">
        <v>263</v>
      </c>
      <c r="J148" s="11" t="s">
        <v>183</v>
      </c>
      <c r="K148" s="13" t="n">
        <v>480</v>
      </c>
      <c r="L148" s="13" t="n">
        <v>20</v>
      </c>
      <c r="M148" s="13" t="n">
        <f aca="false">K148+L148</f>
        <v>500</v>
      </c>
      <c r="N148" s="19" t="n">
        <v>11.7</v>
      </c>
      <c r="O148" s="19" t="n">
        <f aca="false">IF(N148&lt;=35,1,0.25)*M148/(N148+10)*IF(ISNUMBER(SEARCH("KD mismatch",U148)),0.25,1)</f>
        <v>23.0414746543779</v>
      </c>
      <c r="P148" s="20" t="str">
        <f aca="false">IF(N148&lt;=10,"Quick win",IF(N148&lt;=20,"Strong",IF(N148&lt;=35,"Moderate","Stretch")))</f>
        <v>Strong</v>
      </c>
      <c r="Q148" s="12"/>
      <c r="R148" s="12"/>
      <c r="S148" s="12" t="s">
        <v>1206</v>
      </c>
      <c r="T148" s="12" t="s">
        <v>680</v>
      </c>
      <c r="U148" s="12"/>
      <c r="V148" s="14" t="s">
        <v>203</v>
      </c>
      <c r="W148" s="14"/>
      <c r="X148" s="15"/>
      <c r="Y148" s="14"/>
      <c r="Z148" s="24"/>
    </row>
    <row r="149" customFormat="false" ht="23.85" hidden="false" customHeight="false" outlineLevel="0" collapsed="false">
      <c r="A149" s="11" t="n">
        <v>148</v>
      </c>
      <c r="B149" s="11" t="s">
        <v>3</v>
      </c>
      <c r="C149" s="11" t="s">
        <v>1207</v>
      </c>
      <c r="D149" s="11" t="s">
        <v>1208</v>
      </c>
      <c r="E149" s="20" t="s">
        <v>648</v>
      </c>
      <c r="F149" s="11" t="s">
        <v>796</v>
      </c>
      <c r="G149" s="11" t="s">
        <v>235</v>
      </c>
      <c r="H149" s="11" t="s">
        <v>687</v>
      </c>
      <c r="I149" s="11" t="s">
        <v>235</v>
      </c>
      <c r="J149" s="11" t="s">
        <v>71</v>
      </c>
      <c r="K149" s="13" t="n">
        <v>260</v>
      </c>
      <c r="L149" s="13" t="n">
        <v>210</v>
      </c>
      <c r="M149" s="13" t="n">
        <f aca="false">K149+L149</f>
        <v>470</v>
      </c>
      <c r="N149" s="19" t="n">
        <v>10.5</v>
      </c>
      <c r="O149" s="19" t="n">
        <f aca="false">IF(N149&lt;=35,1,0.25)*M149/(N149+10)*IF(ISNUMBER(SEARCH("KD mismatch",U149)),0.25,1)</f>
        <v>22.9268292682927</v>
      </c>
      <c r="P149" s="20" t="str">
        <f aca="false">IF(N149&lt;=10,"Quick win",IF(N149&lt;=20,"Strong",IF(N149&lt;=35,"Moderate","Stretch")))</f>
        <v>Strong</v>
      </c>
      <c r="Q149" s="12"/>
      <c r="R149" s="12"/>
      <c r="S149" s="12" t="s">
        <v>1209</v>
      </c>
      <c r="T149" s="12"/>
      <c r="U149" s="12"/>
      <c r="V149" s="14" t="s">
        <v>203</v>
      </c>
      <c r="W149" s="14"/>
      <c r="X149" s="15"/>
      <c r="Y149" s="14"/>
      <c r="Z149" s="24"/>
    </row>
    <row r="150" customFormat="false" ht="23.85" hidden="false" customHeight="false" outlineLevel="0" collapsed="false">
      <c r="A150" s="11" t="n">
        <v>149</v>
      </c>
      <c r="B150" s="11" t="s">
        <v>3</v>
      </c>
      <c r="C150" s="11" t="s">
        <v>1210</v>
      </c>
      <c r="D150" s="11" t="s">
        <v>1211</v>
      </c>
      <c r="E150" s="20" t="s">
        <v>648</v>
      </c>
      <c r="F150" s="11" t="s">
        <v>1212</v>
      </c>
      <c r="G150" s="11" t="s">
        <v>779</v>
      </c>
      <c r="H150" s="11" t="s">
        <v>204</v>
      </c>
      <c r="I150" s="11" t="s">
        <v>204</v>
      </c>
      <c r="J150" s="11" t="s">
        <v>71</v>
      </c>
      <c r="K150" s="13" t="n">
        <v>320</v>
      </c>
      <c r="L150" s="13" t="n">
        <v>0</v>
      </c>
      <c r="M150" s="13" t="n">
        <f aca="false">K150+L150</f>
        <v>320</v>
      </c>
      <c r="N150" s="19" t="n">
        <v>4</v>
      </c>
      <c r="O150" s="19" t="n">
        <f aca="false">IF(N150&lt;=35,1,0.25)*M150/(N150+10)*IF(ISNUMBER(SEARCH("KD mismatch",U150)),0.25,1)</f>
        <v>22.8571428571429</v>
      </c>
      <c r="P150" s="20" t="str">
        <f aca="false">IF(N150&lt;=10,"Quick win",IF(N150&lt;=20,"Strong",IF(N150&lt;=35,"Moderate","Stretch")))</f>
        <v>Quick win</v>
      </c>
      <c r="Q150" s="12"/>
      <c r="R150" s="12"/>
      <c r="S150" s="12" t="s">
        <v>1213</v>
      </c>
      <c r="T150" s="12"/>
      <c r="U150" s="12"/>
      <c r="V150" s="14" t="s">
        <v>203</v>
      </c>
      <c r="W150" s="14"/>
      <c r="X150" s="15"/>
      <c r="Y150" s="14"/>
      <c r="Z150" s="24"/>
    </row>
    <row r="151" customFormat="false" ht="23.85" hidden="false" customHeight="false" outlineLevel="0" collapsed="false">
      <c r="A151" s="11" t="n">
        <v>150</v>
      </c>
      <c r="B151" s="11" t="s">
        <v>3</v>
      </c>
      <c r="C151" s="11" t="s">
        <v>1214</v>
      </c>
      <c r="D151" s="11" t="s">
        <v>1215</v>
      </c>
      <c r="E151" s="20" t="s">
        <v>627</v>
      </c>
      <c r="F151" s="11" t="s">
        <v>1216</v>
      </c>
      <c r="G151" s="11" t="s">
        <v>314</v>
      </c>
      <c r="H151" s="11" t="s">
        <v>314</v>
      </c>
      <c r="I151" s="11" t="s">
        <v>314</v>
      </c>
      <c r="J151" s="11" t="s">
        <v>182</v>
      </c>
      <c r="K151" s="13" t="n">
        <v>590</v>
      </c>
      <c r="L151" s="13" t="n">
        <v>180</v>
      </c>
      <c r="M151" s="13" t="n">
        <f aca="false">K151+L151</f>
        <v>770</v>
      </c>
      <c r="N151" s="19" t="n">
        <v>24.2</v>
      </c>
      <c r="O151" s="19" t="n">
        <f aca="false">IF(N151&lt;=35,1,0.25)*M151/(N151+10)*IF(ISNUMBER(SEARCH("KD mismatch",U151)),0.25,1)</f>
        <v>22.5146198830409</v>
      </c>
      <c r="P151" s="20" t="str">
        <f aca="false">IF(N151&lt;=10,"Quick win",IF(N151&lt;=20,"Strong",IF(N151&lt;=35,"Moderate","Stretch")))</f>
        <v>Moderate</v>
      </c>
      <c r="Q151" s="12"/>
      <c r="R151" s="12"/>
      <c r="S151" s="12" t="s">
        <v>1217</v>
      </c>
      <c r="T151" s="12"/>
      <c r="U151" s="12"/>
      <c r="V151" s="14" t="s">
        <v>203</v>
      </c>
      <c r="W151" s="14"/>
      <c r="X151" s="15"/>
      <c r="Y151" s="14"/>
      <c r="Z151" s="24"/>
    </row>
    <row r="152" customFormat="false" ht="23.85" hidden="false" customHeight="false" outlineLevel="0" collapsed="false">
      <c r="A152" s="11" t="n">
        <v>151</v>
      </c>
      <c r="B152" s="11" t="s">
        <v>3</v>
      </c>
      <c r="C152" s="11" t="s">
        <v>1218</v>
      </c>
      <c r="D152" s="11" t="s">
        <v>1219</v>
      </c>
      <c r="E152" s="20" t="s">
        <v>648</v>
      </c>
      <c r="F152" s="11" t="s">
        <v>649</v>
      </c>
      <c r="G152" s="11" t="s">
        <v>1220</v>
      </c>
      <c r="H152" s="11" t="s">
        <v>214</v>
      </c>
      <c r="I152" s="11" t="s">
        <v>214</v>
      </c>
      <c r="J152" s="11" t="s">
        <v>71</v>
      </c>
      <c r="K152" s="13" t="n">
        <v>720</v>
      </c>
      <c r="L152" s="13" t="n">
        <v>0</v>
      </c>
      <c r="M152" s="13" t="n">
        <f aca="false">K152+L152</f>
        <v>720</v>
      </c>
      <c r="N152" s="19" t="n">
        <v>22</v>
      </c>
      <c r="O152" s="19" t="n">
        <f aca="false">IF(N152&lt;=35,1,0.25)*M152/(N152+10)*IF(ISNUMBER(SEARCH("KD mismatch",U152)),0.25,1)</f>
        <v>22.5</v>
      </c>
      <c r="P152" s="20" t="str">
        <f aca="false">IF(N152&lt;=10,"Quick win",IF(N152&lt;=20,"Strong",IF(N152&lt;=35,"Moderate","Stretch")))</f>
        <v>Moderate</v>
      </c>
      <c r="Q152" s="12"/>
      <c r="R152" s="12"/>
      <c r="S152" s="12" t="s">
        <v>1221</v>
      </c>
      <c r="T152" s="12"/>
      <c r="U152" s="12"/>
      <c r="V152" s="14" t="s">
        <v>203</v>
      </c>
      <c r="W152" s="14"/>
      <c r="X152" s="15"/>
      <c r="Y152" s="14"/>
      <c r="Z152" s="24"/>
    </row>
    <row r="153" customFormat="false" ht="23.85" hidden="false" customHeight="false" outlineLevel="0" collapsed="false">
      <c r="A153" s="11" t="n">
        <v>152</v>
      </c>
      <c r="B153" s="11" t="s">
        <v>3</v>
      </c>
      <c r="C153" s="11" t="s">
        <v>1222</v>
      </c>
      <c r="D153" s="11" t="s">
        <v>1223</v>
      </c>
      <c r="E153" s="20" t="s">
        <v>648</v>
      </c>
      <c r="F153" s="11" t="s">
        <v>649</v>
      </c>
      <c r="G153" s="11" t="s">
        <v>1224</v>
      </c>
      <c r="H153" s="11" t="s">
        <v>214</v>
      </c>
      <c r="I153" s="11" t="s">
        <v>214</v>
      </c>
      <c r="J153" s="11" t="s">
        <v>71</v>
      </c>
      <c r="K153" s="13" t="n">
        <v>760</v>
      </c>
      <c r="L153" s="13" t="n">
        <v>0</v>
      </c>
      <c r="M153" s="13" t="n">
        <f aca="false">K153+L153</f>
        <v>760</v>
      </c>
      <c r="N153" s="19" t="n">
        <v>24</v>
      </c>
      <c r="O153" s="19" t="n">
        <f aca="false">IF(N153&lt;=35,1,0.25)*M153/(N153+10)*IF(ISNUMBER(SEARCH("KD mismatch",U153)),0.25,1)</f>
        <v>22.3529411764706</v>
      </c>
      <c r="P153" s="20" t="str">
        <f aca="false">IF(N153&lt;=10,"Quick win",IF(N153&lt;=20,"Strong",IF(N153&lt;=35,"Moderate","Stretch")))</f>
        <v>Moderate</v>
      </c>
      <c r="Q153" s="12"/>
      <c r="R153" s="12"/>
      <c r="S153" s="12" t="s">
        <v>1225</v>
      </c>
      <c r="T153" s="12"/>
      <c r="U153" s="12"/>
      <c r="V153" s="14" t="s">
        <v>203</v>
      </c>
      <c r="W153" s="14"/>
      <c r="X153" s="15"/>
      <c r="Y153" s="14"/>
      <c r="Z153" s="24"/>
    </row>
    <row r="154" customFormat="false" ht="15" hidden="false" customHeight="false" outlineLevel="0" collapsed="false">
      <c r="A154" s="11" t="n">
        <v>153</v>
      </c>
      <c r="B154" s="11" t="s">
        <v>3</v>
      </c>
      <c r="C154" s="11" t="s">
        <v>1226</v>
      </c>
      <c r="D154" s="11" t="s">
        <v>1227</v>
      </c>
      <c r="E154" s="20" t="s">
        <v>627</v>
      </c>
      <c r="F154" s="11" t="s">
        <v>642</v>
      </c>
      <c r="G154" s="11" t="s">
        <v>1228</v>
      </c>
      <c r="H154" s="11" t="s">
        <v>302</v>
      </c>
      <c r="I154" s="11" t="s">
        <v>302</v>
      </c>
      <c r="J154" s="11" t="s">
        <v>56</v>
      </c>
      <c r="K154" s="13" t="n">
        <v>320</v>
      </c>
      <c r="L154" s="13" t="n">
        <v>170</v>
      </c>
      <c r="M154" s="13" t="n">
        <f aca="false">K154+L154</f>
        <v>490</v>
      </c>
      <c r="N154" s="19" t="n">
        <v>12.5</v>
      </c>
      <c r="O154" s="19" t="n">
        <f aca="false">IF(N154&lt;=35,1,0.25)*M154/(N154+10)*IF(ISNUMBER(SEARCH("KD mismatch",U154)),0.25,1)</f>
        <v>21.7777777777778</v>
      </c>
      <c r="P154" s="20" t="str">
        <f aca="false">IF(N154&lt;=10,"Quick win",IF(N154&lt;=20,"Strong",IF(N154&lt;=35,"Moderate","Stretch")))</f>
        <v>Strong</v>
      </c>
      <c r="Q154" s="12"/>
      <c r="R154" s="12"/>
      <c r="S154" s="12" t="s">
        <v>1229</v>
      </c>
      <c r="T154" s="12"/>
      <c r="U154" s="12"/>
      <c r="V154" s="14" t="s">
        <v>203</v>
      </c>
      <c r="W154" s="14"/>
      <c r="X154" s="15"/>
      <c r="Y154" s="14"/>
      <c r="Z154" s="24"/>
    </row>
    <row r="155" customFormat="false" ht="23.85" hidden="false" customHeight="false" outlineLevel="0" collapsed="false">
      <c r="A155" s="11" t="n">
        <v>154</v>
      </c>
      <c r="B155" s="11" t="s">
        <v>3</v>
      </c>
      <c r="C155" s="11" t="s">
        <v>1230</v>
      </c>
      <c r="D155" s="11" t="s">
        <v>1231</v>
      </c>
      <c r="E155" s="20" t="s">
        <v>648</v>
      </c>
      <c r="F155" s="11" t="s">
        <v>784</v>
      </c>
      <c r="G155" s="11" t="s">
        <v>89</v>
      </c>
      <c r="H155" s="11" t="s">
        <v>224</v>
      </c>
      <c r="I155" s="11" t="s">
        <v>89</v>
      </c>
      <c r="J155" s="11" t="s">
        <v>143</v>
      </c>
      <c r="K155" s="13" t="n">
        <v>210</v>
      </c>
      <c r="L155" s="13" t="n">
        <v>390</v>
      </c>
      <c r="M155" s="13" t="n">
        <f aca="false">K155+L155</f>
        <v>600</v>
      </c>
      <c r="N155" s="19" t="n">
        <v>17.6</v>
      </c>
      <c r="O155" s="19" t="n">
        <f aca="false">IF(N155&lt;=35,1,0.25)*M155/(N155+10)*IF(ISNUMBER(SEARCH("KD mismatch",U155)),0.25,1)</f>
        <v>21.7391304347826</v>
      </c>
      <c r="P155" s="20" t="str">
        <f aca="false">IF(N155&lt;=10,"Quick win",IF(N155&lt;=20,"Strong",IF(N155&lt;=35,"Moderate","Stretch")))</f>
        <v>Strong</v>
      </c>
      <c r="Q155" s="12"/>
      <c r="R155" s="12"/>
      <c r="S155" s="12" t="s">
        <v>1232</v>
      </c>
      <c r="T155" s="12"/>
      <c r="U155" s="12"/>
      <c r="V155" s="14" t="s">
        <v>203</v>
      </c>
      <c r="W155" s="14"/>
      <c r="X155" s="15"/>
      <c r="Y155" s="14"/>
      <c r="Z155" s="24"/>
    </row>
    <row r="156" customFormat="false" ht="23.85" hidden="false" customHeight="false" outlineLevel="0" collapsed="false">
      <c r="A156" s="11" t="n">
        <v>155</v>
      </c>
      <c r="B156" s="11" t="s">
        <v>3</v>
      </c>
      <c r="C156" s="11" t="s">
        <v>1233</v>
      </c>
      <c r="D156" s="11" t="s">
        <v>1234</v>
      </c>
      <c r="E156" s="20" t="s">
        <v>648</v>
      </c>
      <c r="F156" s="11" t="s">
        <v>1235</v>
      </c>
      <c r="G156" s="11" t="s">
        <v>133</v>
      </c>
      <c r="H156" s="11" t="s">
        <v>247</v>
      </c>
      <c r="I156" s="11" t="s">
        <v>133</v>
      </c>
      <c r="J156" s="11" t="s">
        <v>71</v>
      </c>
      <c r="K156" s="13" t="n">
        <v>390</v>
      </c>
      <c r="L156" s="13" t="n">
        <v>40</v>
      </c>
      <c r="M156" s="13" t="n">
        <f aca="false">K156+L156</f>
        <v>430</v>
      </c>
      <c r="N156" s="19" t="n">
        <v>9.9</v>
      </c>
      <c r="O156" s="19" t="n">
        <f aca="false">IF(N156&lt;=35,1,0.25)*M156/(N156+10)*IF(ISNUMBER(SEARCH("KD mismatch",U156)),0.25,1)</f>
        <v>21.608040201005</v>
      </c>
      <c r="P156" s="20" t="str">
        <f aca="false">IF(N156&lt;=10,"Quick win",IF(N156&lt;=20,"Strong",IF(N156&lt;=35,"Moderate","Stretch")))</f>
        <v>Quick win</v>
      </c>
      <c r="Q156" s="12"/>
      <c r="R156" s="12"/>
      <c r="S156" s="12" t="s">
        <v>683</v>
      </c>
      <c r="T156" s="12"/>
      <c r="U156" s="12"/>
      <c r="V156" s="14" t="s">
        <v>203</v>
      </c>
      <c r="W156" s="14"/>
      <c r="X156" s="15"/>
      <c r="Y156" s="14"/>
      <c r="Z156" s="24"/>
    </row>
    <row r="157" customFormat="false" ht="23.85" hidden="false" customHeight="false" outlineLevel="0" collapsed="false">
      <c r="A157" s="11" t="n">
        <v>156</v>
      </c>
      <c r="B157" s="11" t="s">
        <v>3</v>
      </c>
      <c r="C157" s="11" t="s">
        <v>1236</v>
      </c>
      <c r="D157" s="11" t="s">
        <v>1237</v>
      </c>
      <c r="E157" s="20" t="s">
        <v>627</v>
      </c>
      <c r="F157" s="11" t="s">
        <v>1199</v>
      </c>
      <c r="G157" s="11" t="s">
        <v>1238</v>
      </c>
      <c r="H157" s="11" t="s">
        <v>196</v>
      </c>
      <c r="I157" s="11" t="s">
        <v>196</v>
      </c>
      <c r="J157" s="11" t="s">
        <v>184</v>
      </c>
      <c r="K157" s="13" t="n">
        <v>320</v>
      </c>
      <c r="L157" s="13" t="n">
        <v>30</v>
      </c>
      <c r="M157" s="13" t="n">
        <f aca="false">K157+L157</f>
        <v>350</v>
      </c>
      <c r="N157" s="19" t="n">
        <v>6.4</v>
      </c>
      <c r="O157" s="19" t="n">
        <f aca="false">IF(N157&lt;=35,1,0.25)*M157/(N157+10)*IF(ISNUMBER(SEARCH("KD mismatch",U157)),0.25,1)</f>
        <v>21.3414634146342</v>
      </c>
      <c r="P157" s="20" t="str">
        <f aca="false">IF(N157&lt;=10,"Quick win",IF(N157&lt;=20,"Strong",IF(N157&lt;=35,"Moderate","Stretch")))</f>
        <v>Quick win</v>
      </c>
      <c r="Q157" s="12"/>
      <c r="R157" s="12"/>
      <c r="S157" s="12" t="s">
        <v>1239</v>
      </c>
      <c r="T157" s="12"/>
      <c r="U157" s="12"/>
      <c r="V157" s="14" t="s">
        <v>203</v>
      </c>
      <c r="W157" s="14"/>
      <c r="X157" s="15"/>
      <c r="Y157" s="14"/>
      <c r="Z157" s="24"/>
    </row>
    <row r="158" customFormat="false" ht="23.85" hidden="false" customHeight="false" outlineLevel="0" collapsed="false">
      <c r="A158" s="11" t="n">
        <v>157</v>
      </c>
      <c r="B158" s="11" t="s">
        <v>3</v>
      </c>
      <c r="C158" s="11" t="s">
        <v>1240</v>
      </c>
      <c r="D158" s="11" t="s">
        <v>1241</v>
      </c>
      <c r="E158" s="20" t="s">
        <v>627</v>
      </c>
      <c r="F158" s="11" t="s">
        <v>1199</v>
      </c>
      <c r="G158" s="11" t="s">
        <v>1242</v>
      </c>
      <c r="H158" s="11" t="s">
        <v>196</v>
      </c>
      <c r="I158" s="11" t="s">
        <v>196</v>
      </c>
      <c r="J158" s="11" t="s">
        <v>184</v>
      </c>
      <c r="K158" s="13" t="n">
        <v>0</v>
      </c>
      <c r="L158" s="13" t="n">
        <v>320</v>
      </c>
      <c r="M158" s="13" t="n">
        <f aca="false">K158+L158</f>
        <v>320</v>
      </c>
      <c r="N158" s="19" t="n">
        <v>5</v>
      </c>
      <c r="O158" s="19" t="n">
        <f aca="false">IF(N158&lt;=35,1,0.25)*M158/(N158+10)*IF(ISNUMBER(SEARCH("KD mismatch",U158)),0.25,1)</f>
        <v>21.3333333333333</v>
      </c>
      <c r="P158" s="20" t="str">
        <f aca="false">IF(N158&lt;=10,"Quick win",IF(N158&lt;=20,"Strong",IF(N158&lt;=35,"Moderate","Stretch")))</f>
        <v>Quick win</v>
      </c>
      <c r="Q158" s="12"/>
      <c r="R158" s="12"/>
      <c r="S158" s="12" t="s">
        <v>1243</v>
      </c>
      <c r="T158" s="12"/>
      <c r="U158" s="12"/>
      <c r="V158" s="14" t="s">
        <v>203</v>
      </c>
      <c r="W158" s="14"/>
      <c r="X158" s="15"/>
      <c r="Y158" s="14"/>
      <c r="Z158" s="24"/>
    </row>
    <row r="159" customFormat="false" ht="23.85" hidden="false" customHeight="false" outlineLevel="0" collapsed="false">
      <c r="A159" s="11" t="n">
        <v>158</v>
      </c>
      <c r="B159" s="11" t="s">
        <v>3</v>
      </c>
      <c r="C159" s="11" t="s">
        <v>1244</v>
      </c>
      <c r="D159" s="11" t="s">
        <v>1245</v>
      </c>
      <c r="E159" s="20" t="s">
        <v>648</v>
      </c>
      <c r="F159" s="11" t="s">
        <v>1246</v>
      </c>
      <c r="G159" s="11" t="s">
        <v>55</v>
      </c>
      <c r="H159" s="11" t="s">
        <v>241</v>
      </c>
      <c r="I159" s="11" t="s">
        <v>55</v>
      </c>
      <c r="J159" s="11" t="s">
        <v>71</v>
      </c>
      <c r="K159" s="13" t="n">
        <v>480</v>
      </c>
      <c r="L159" s="13" t="n">
        <v>20</v>
      </c>
      <c r="M159" s="13" t="n">
        <f aca="false">K159+L159</f>
        <v>500</v>
      </c>
      <c r="N159" s="19" t="n">
        <v>13.8</v>
      </c>
      <c r="O159" s="19" t="n">
        <f aca="false">IF(N159&lt;=35,1,0.25)*M159/(N159+10)*IF(ISNUMBER(SEARCH("KD mismatch",U159)),0.25,1)</f>
        <v>21.0084033613445</v>
      </c>
      <c r="P159" s="20" t="str">
        <f aca="false">IF(N159&lt;=10,"Quick win",IF(N159&lt;=20,"Strong",IF(N159&lt;=35,"Moderate","Stretch")))</f>
        <v>Strong</v>
      </c>
      <c r="Q159" s="12"/>
      <c r="R159" s="12"/>
      <c r="S159" s="12" t="s">
        <v>1247</v>
      </c>
      <c r="T159" s="12" t="s">
        <v>645</v>
      </c>
      <c r="U159" s="12"/>
      <c r="V159" s="14" t="s">
        <v>203</v>
      </c>
      <c r="W159" s="14"/>
      <c r="X159" s="15"/>
      <c r="Y159" s="14"/>
      <c r="Z159" s="24"/>
    </row>
    <row r="160" customFormat="false" ht="23.85" hidden="false" customHeight="false" outlineLevel="0" collapsed="false">
      <c r="A160" s="11" t="n">
        <v>159</v>
      </c>
      <c r="B160" s="11" t="s">
        <v>3</v>
      </c>
      <c r="C160" s="11" t="s">
        <v>1248</v>
      </c>
      <c r="D160" s="11" t="s">
        <v>1249</v>
      </c>
      <c r="E160" s="20" t="s">
        <v>648</v>
      </c>
      <c r="F160" s="11" t="s">
        <v>1250</v>
      </c>
      <c r="G160" s="11" t="s">
        <v>55</v>
      </c>
      <c r="H160" s="11" t="s">
        <v>241</v>
      </c>
      <c r="I160" s="11" t="s">
        <v>55</v>
      </c>
      <c r="J160" s="11" t="s">
        <v>71</v>
      </c>
      <c r="K160" s="13" t="n">
        <v>480</v>
      </c>
      <c r="L160" s="13" t="n">
        <v>0</v>
      </c>
      <c r="M160" s="13" t="n">
        <f aca="false">K160+L160</f>
        <v>480</v>
      </c>
      <c r="N160" s="19" t="n">
        <v>13</v>
      </c>
      <c r="O160" s="19" t="n">
        <f aca="false">IF(N160&lt;=35,1,0.25)*M160/(N160+10)*IF(ISNUMBER(SEARCH("KD mismatch",U160)),0.25,1)</f>
        <v>20.8695652173913</v>
      </c>
      <c r="P160" s="20" t="str">
        <f aca="false">IF(N160&lt;=10,"Quick win",IF(N160&lt;=20,"Strong",IF(N160&lt;=35,"Moderate","Stretch")))</f>
        <v>Strong</v>
      </c>
      <c r="Q160" s="12"/>
      <c r="R160" s="12"/>
      <c r="S160" s="12" t="s">
        <v>1251</v>
      </c>
      <c r="T160" s="12" t="s">
        <v>645</v>
      </c>
      <c r="U160" s="12"/>
      <c r="V160" s="14" t="s">
        <v>203</v>
      </c>
      <c r="W160" s="14"/>
      <c r="X160" s="15"/>
      <c r="Y160" s="14"/>
      <c r="Z160" s="24"/>
    </row>
    <row r="161" customFormat="false" ht="23.85" hidden="false" customHeight="false" outlineLevel="0" collapsed="false">
      <c r="A161" s="11" t="n">
        <v>160</v>
      </c>
      <c r="B161" s="11" t="s">
        <v>3</v>
      </c>
      <c r="C161" s="11" t="s">
        <v>1252</v>
      </c>
      <c r="D161" s="11" t="s">
        <v>1253</v>
      </c>
      <c r="E161" s="20" t="s">
        <v>648</v>
      </c>
      <c r="F161" s="11" t="s">
        <v>796</v>
      </c>
      <c r="G161" s="11" t="s">
        <v>298</v>
      </c>
      <c r="H161" s="11" t="s">
        <v>214</v>
      </c>
      <c r="I161" s="11" t="s">
        <v>298</v>
      </c>
      <c r="J161" s="11" t="s">
        <v>71</v>
      </c>
      <c r="K161" s="13" t="n">
        <v>480</v>
      </c>
      <c r="L161" s="13" t="n">
        <v>0</v>
      </c>
      <c r="M161" s="13" t="n">
        <f aca="false">K161+L161</f>
        <v>480</v>
      </c>
      <c r="N161" s="19" t="n">
        <v>13</v>
      </c>
      <c r="O161" s="19" t="n">
        <f aca="false">IF(N161&lt;=35,1,0.25)*M161/(N161+10)*IF(ISNUMBER(SEARCH("KD mismatch",U161)),0.25,1)</f>
        <v>20.8695652173913</v>
      </c>
      <c r="P161" s="20" t="str">
        <f aca="false">IF(N161&lt;=10,"Quick win",IF(N161&lt;=20,"Strong",IF(N161&lt;=35,"Moderate","Stretch")))</f>
        <v>Strong</v>
      </c>
      <c r="Q161" s="12"/>
      <c r="R161" s="12"/>
      <c r="S161" s="12" t="s">
        <v>1254</v>
      </c>
      <c r="T161" s="12"/>
      <c r="U161" s="12"/>
      <c r="V161" s="14" t="s">
        <v>203</v>
      </c>
      <c r="W161" s="14"/>
      <c r="X161" s="15"/>
      <c r="Y161" s="14"/>
      <c r="Z161" s="24"/>
    </row>
    <row r="162" customFormat="false" ht="23.85" hidden="false" customHeight="false" outlineLevel="0" collapsed="false">
      <c r="A162" s="11" t="n">
        <v>161</v>
      </c>
      <c r="B162" s="11" t="s">
        <v>3</v>
      </c>
      <c r="C162" s="11" t="s">
        <v>1255</v>
      </c>
      <c r="D162" s="11" t="s">
        <v>1256</v>
      </c>
      <c r="E162" s="20" t="s">
        <v>627</v>
      </c>
      <c r="F162" s="11" t="s">
        <v>881</v>
      </c>
      <c r="G162" s="11" t="s">
        <v>241</v>
      </c>
      <c r="H162" s="11" t="s">
        <v>241</v>
      </c>
      <c r="I162" s="11" t="s">
        <v>241</v>
      </c>
      <c r="J162" s="11" t="s">
        <v>182</v>
      </c>
      <c r="K162" s="13" t="n">
        <v>140</v>
      </c>
      <c r="L162" s="13" t="n">
        <v>260</v>
      </c>
      <c r="M162" s="13" t="n">
        <f aca="false">K162+L162</f>
        <v>400</v>
      </c>
      <c r="N162" s="19" t="n">
        <v>9.3</v>
      </c>
      <c r="O162" s="19" t="n">
        <f aca="false">IF(N162&lt;=35,1,0.25)*M162/(N162+10)*IF(ISNUMBER(SEARCH("KD mismatch",U162)),0.25,1)</f>
        <v>20.7253886010363</v>
      </c>
      <c r="P162" s="20" t="str">
        <f aca="false">IF(N162&lt;=10,"Quick win",IF(N162&lt;=20,"Strong",IF(N162&lt;=35,"Moderate","Stretch")))</f>
        <v>Quick win</v>
      </c>
      <c r="Q162" s="12"/>
      <c r="R162" s="12"/>
      <c r="S162" s="12" t="s">
        <v>1257</v>
      </c>
      <c r="T162" s="12" t="s">
        <v>818</v>
      </c>
      <c r="U162" s="12"/>
      <c r="V162" s="14" t="s">
        <v>203</v>
      </c>
      <c r="W162" s="14"/>
      <c r="X162" s="15"/>
      <c r="Y162" s="14"/>
      <c r="Z162" s="24"/>
    </row>
    <row r="163" customFormat="false" ht="23.85" hidden="false" customHeight="false" outlineLevel="0" collapsed="false">
      <c r="A163" s="11" t="n">
        <v>162</v>
      </c>
      <c r="B163" s="11" t="s">
        <v>3</v>
      </c>
      <c r="C163" s="11" t="s">
        <v>1258</v>
      </c>
      <c r="D163" s="11" t="s">
        <v>1259</v>
      </c>
      <c r="E163" s="20" t="s">
        <v>648</v>
      </c>
      <c r="F163" s="11" t="s">
        <v>649</v>
      </c>
      <c r="G163" s="11" t="s">
        <v>80</v>
      </c>
      <c r="H163" s="11" t="s">
        <v>247</v>
      </c>
      <c r="I163" s="11" t="s">
        <v>80</v>
      </c>
      <c r="J163" s="11" t="s">
        <v>71</v>
      </c>
      <c r="K163" s="13" t="n">
        <v>230</v>
      </c>
      <c r="L163" s="13" t="n">
        <v>280</v>
      </c>
      <c r="M163" s="13" t="n">
        <f aca="false">K163+L163</f>
        <v>510</v>
      </c>
      <c r="N163" s="19" t="n">
        <v>14.7</v>
      </c>
      <c r="O163" s="19" t="n">
        <f aca="false">IF(N163&lt;=35,1,0.25)*M163/(N163+10)*IF(ISNUMBER(SEARCH("KD mismatch",U163)),0.25,1)</f>
        <v>20.6477732793522</v>
      </c>
      <c r="P163" s="20" t="str">
        <f aca="false">IF(N163&lt;=10,"Quick win",IF(N163&lt;=20,"Strong",IF(N163&lt;=35,"Moderate","Stretch")))</f>
        <v>Strong</v>
      </c>
      <c r="Q163" s="12" t="s">
        <v>1260</v>
      </c>
      <c r="R163" s="12"/>
      <c r="S163" s="12" t="s">
        <v>1261</v>
      </c>
      <c r="T163" s="12" t="s">
        <v>657</v>
      </c>
      <c r="U163" s="12"/>
      <c r="V163" s="14" t="s">
        <v>203</v>
      </c>
      <c r="W163" s="14"/>
      <c r="X163" s="15"/>
      <c r="Y163" s="14"/>
      <c r="Z163" s="24"/>
    </row>
    <row r="164" customFormat="false" ht="23.85" hidden="false" customHeight="false" outlineLevel="0" collapsed="false">
      <c r="A164" s="11" t="n">
        <v>163</v>
      </c>
      <c r="B164" s="11" t="s">
        <v>3</v>
      </c>
      <c r="C164" s="11" t="s">
        <v>1262</v>
      </c>
      <c r="D164" s="11" t="s">
        <v>1263</v>
      </c>
      <c r="E164" s="20" t="s">
        <v>648</v>
      </c>
      <c r="F164" s="11" t="s">
        <v>692</v>
      </c>
      <c r="G164" s="11" t="s">
        <v>301</v>
      </c>
      <c r="H164" s="11" t="s">
        <v>302</v>
      </c>
      <c r="I164" s="11" t="s">
        <v>301</v>
      </c>
      <c r="J164" s="11" t="s">
        <v>71</v>
      </c>
      <c r="K164" s="13" t="n">
        <v>170</v>
      </c>
      <c r="L164" s="13" t="n">
        <v>170</v>
      </c>
      <c r="M164" s="13" t="n">
        <f aca="false">K164+L164</f>
        <v>340</v>
      </c>
      <c r="N164" s="19" t="n">
        <v>7</v>
      </c>
      <c r="O164" s="19" t="n">
        <f aca="false">IF(N164&lt;=35,1,0.25)*M164/(N164+10)*IF(ISNUMBER(SEARCH("KD mismatch",U164)),0.25,1)</f>
        <v>20</v>
      </c>
      <c r="P164" s="20" t="str">
        <f aca="false">IF(N164&lt;=10,"Quick win",IF(N164&lt;=20,"Strong",IF(N164&lt;=35,"Moderate","Stretch")))</f>
        <v>Quick win</v>
      </c>
      <c r="Q164" s="12"/>
      <c r="R164" s="12"/>
      <c r="S164" s="12" t="s">
        <v>1062</v>
      </c>
      <c r="T164" s="12"/>
      <c r="U164" s="12"/>
      <c r="V164" s="14" t="s">
        <v>203</v>
      </c>
      <c r="W164" s="14"/>
      <c r="X164" s="15"/>
      <c r="Y164" s="14"/>
      <c r="Z164" s="24"/>
    </row>
    <row r="165" customFormat="false" ht="23.85" hidden="false" customHeight="false" outlineLevel="0" collapsed="false">
      <c r="A165" s="11" t="n">
        <v>164</v>
      </c>
      <c r="B165" s="11" t="s">
        <v>3</v>
      </c>
      <c r="C165" s="11" t="s">
        <v>1264</v>
      </c>
      <c r="D165" s="11" t="s">
        <v>1265</v>
      </c>
      <c r="E165" s="20" t="s">
        <v>648</v>
      </c>
      <c r="F165" s="11" t="s">
        <v>700</v>
      </c>
      <c r="G165" s="11" t="s">
        <v>282</v>
      </c>
      <c r="H165" s="11" t="s">
        <v>283</v>
      </c>
      <c r="I165" s="11" t="s">
        <v>282</v>
      </c>
      <c r="J165" s="11" t="s">
        <v>143</v>
      </c>
      <c r="K165" s="13" t="n">
        <v>0</v>
      </c>
      <c r="L165" s="13" t="n">
        <v>320</v>
      </c>
      <c r="M165" s="13" t="n">
        <f aca="false">K165+L165</f>
        <v>320</v>
      </c>
      <c r="N165" s="19" t="n">
        <v>6</v>
      </c>
      <c r="O165" s="19" t="n">
        <f aca="false">IF(N165&lt;=35,1,0.25)*M165/(N165+10)*IF(ISNUMBER(SEARCH("KD mismatch",U165)),0.25,1)</f>
        <v>20</v>
      </c>
      <c r="P165" s="20" t="str">
        <f aca="false">IF(N165&lt;=10,"Quick win",IF(N165&lt;=20,"Strong",IF(N165&lt;=35,"Moderate","Stretch")))</f>
        <v>Quick win</v>
      </c>
      <c r="Q165" s="12"/>
      <c r="R165" s="12"/>
      <c r="S165" s="12" t="s">
        <v>1266</v>
      </c>
      <c r="T165" s="12" t="s">
        <v>856</v>
      </c>
      <c r="U165" s="12"/>
      <c r="V165" s="14" t="s">
        <v>203</v>
      </c>
      <c r="W165" s="14"/>
      <c r="X165" s="15"/>
      <c r="Y165" s="14"/>
      <c r="Z165" s="24"/>
    </row>
    <row r="166" customFormat="false" ht="23.85" hidden="false" customHeight="false" outlineLevel="0" collapsed="false">
      <c r="A166" s="11" t="n">
        <v>165</v>
      </c>
      <c r="B166" s="11" t="s">
        <v>3</v>
      </c>
      <c r="C166" s="11" t="s">
        <v>1267</v>
      </c>
      <c r="D166" s="11" t="s">
        <v>1268</v>
      </c>
      <c r="E166" s="20" t="s">
        <v>627</v>
      </c>
      <c r="F166" s="11" t="s">
        <v>642</v>
      </c>
      <c r="G166" s="11" t="s">
        <v>1269</v>
      </c>
      <c r="H166" s="11" t="s">
        <v>311</v>
      </c>
      <c r="I166" s="11" t="s">
        <v>311</v>
      </c>
      <c r="J166" s="11" t="s">
        <v>56</v>
      </c>
      <c r="K166" s="13" t="n">
        <v>480</v>
      </c>
      <c r="L166" s="13" t="n">
        <v>0</v>
      </c>
      <c r="M166" s="13" t="n">
        <f aca="false">K166+L166</f>
        <v>480</v>
      </c>
      <c r="N166" s="19" t="n">
        <v>14</v>
      </c>
      <c r="O166" s="19" t="n">
        <f aca="false">IF(N166&lt;=35,1,0.25)*M166/(N166+10)*IF(ISNUMBER(SEARCH("KD mismatch",U166)),0.25,1)</f>
        <v>20</v>
      </c>
      <c r="P166" s="20" t="str">
        <f aca="false">IF(N166&lt;=10,"Quick win",IF(N166&lt;=20,"Strong",IF(N166&lt;=35,"Moderate","Stretch")))</f>
        <v>Strong</v>
      </c>
      <c r="Q166" s="12"/>
      <c r="R166" s="12"/>
      <c r="S166" s="12" t="s">
        <v>1270</v>
      </c>
      <c r="T166" s="12"/>
      <c r="U166" s="12"/>
      <c r="V166" s="14" t="s">
        <v>203</v>
      </c>
      <c r="W166" s="14"/>
      <c r="X166" s="15"/>
      <c r="Y166" s="14"/>
      <c r="Z166" s="24"/>
    </row>
    <row r="167" customFormat="false" ht="15" hidden="false" customHeight="false" outlineLevel="0" collapsed="false">
      <c r="A167" s="11" t="n">
        <v>166</v>
      </c>
      <c r="B167" s="11" t="s">
        <v>3</v>
      </c>
      <c r="C167" s="11" t="s">
        <v>1271</v>
      </c>
      <c r="D167" s="11" t="s">
        <v>1272</v>
      </c>
      <c r="E167" s="20" t="s">
        <v>627</v>
      </c>
      <c r="F167" s="11" t="s">
        <v>642</v>
      </c>
      <c r="G167" s="11" t="s">
        <v>1273</v>
      </c>
      <c r="H167" s="11" t="s">
        <v>402</v>
      </c>
      <c r="I167" s="11" t="s">
        <v>402</v>
      </c>
      <c r="J167" s="11" t="s">
        <v>56</v>
      </c>
      <c r="K167" s="13" t="n">
        <v>320</v>
      </c>
      <c r="L167" s="13" t="n">
        <v>0</v>
      </c>
      <c r="M167" s="13" t="n">
        <f aca="false">K167+L167</f>
        <v>320</v>
      </c>
      <c r="N167" s="19" t="n">
        <v>6</v>
      </c>
      <c r="O167" s="19" t="n">
        <f aca="false">IF(N167&lt;=35,1,0.25)*M167/(N167+10)*IF(ISNUMBER(SEARCH("KD mismatch",U167)),0.25,1)</f>
        <v>20</v>
      </c>
      <c r="P167" s="20" t="str">
        <f aca="false">IF(N167&lt;=10,"Quick win",IF(N167&lt;=20,"Strong",IF(N167&lt;=35,"Moderate","Stretch")))</f>
        <v>Quick win</v>
      </c>
      <c r="Q167" s="12"/>
      <c r="R167" s="12"/>
      <c r="S167" s="12" t="s">
        <v>1274</v>
      </c>
      <c r="T167" s="12"/>
      <c r="U167" s="12"/>
      <c r="V167" s="14" t="s">
        <v>203</v>
      </c>
      <c r="W167" s="14"/>
      <c r="X167" s="15"/>
      <c r="Y167" s="14"/>
      <c r="Z167" s="24"/>
    </row>
    <row r="168" customFormat="false" ht="23.85" hidden="false" customHeight="false" outlineLevel="0" collapsed="false">
      <c r="A168" s="11" t="n">
        <v>167</v>
      </c>
      <c r="B168" s="11" t="s">
        <v>3</v>
      </c>
      <c r="C168" s="11" t="s">
        <v>1275</v>
      </c>
      <c r="D168" s="11" t="s">
        <v>1276</v>
      </c>
      <c r="E168" s="20" t="s">
        <v>648</v>
      </c>
      <c r="F168" s="11" t="s">
        <v>700</v>
      </c>
      <c r="G168" s="11" t="s">
        <v>115</v>
      </c>
      <c r="H168" s="11" t="s">
        <v>706</v>
      </c>
      <c r="I168" s="11" t="s">
        <v>115</v>
      </c>
      <c r="J168" s="11" t="s">
        <v>143</v>
      </c>
      <c r="K168" s="13" t="n">
        <v>210</v>
      </c>
      <c r="L168" s="13" t="n">
        <v>210</v>
      </c>
      <c r="M168" s="13" t="n">
        <f aca="false">K168+L168</f>
        <v>420</v>
      </c>
      <c r="N168" s="19" t="n">
        <v>11.5</v>
      </c>
      <c r="O168" s="19" t="n">
        <f aca="false">IF(N168&lt;=35,1,0.25)*M168/(N168+10)*IF(ISNUMBER(SEARCH("KD mismatch",U168)),0.25,1)</f>
        <v>19.5348837209302</v>
      </c>
      <c r="P168" s="20" t="str">
        <f aca="false">IF(N168&lt;=10,"Quick win",IF(N168&lt;=20,"Strong",IF(N168&lt;=35,"Moderate","Stretch")))</f>
        <v>Strong</v>
      </c>
      <c r="Q168" s="12"/>
      <c r="R168" s="12"/>
      <c r="S168" s="12" t="s">
        <v>1277</v>
      </c>
      <c r="T168" s="12" t="s">
        <v>709</v>
      </c>
      <c r="U168" s="12"/>
      <c r="V168" s="14" t="s">
        <v>203</v>
      </c>
      <c r="W168" s="14"/>
      <c r="X168" s="15"/>
      <c r="Y168" s="14"/>
      <c r="Z168" s="24"/>
    </row>
    <row r="169" customFormat="false" ht="23.85" hidden="false" customHeight="false" outlineLevel="0" collapsed="false">
      <c r="A169" s="11" t="n">
        <v>168</v>
      </c>
      <c r="B169" s="11" t="s">
        <v>3</v>
      </c>
      <c r="C169" s="11" t="s">
        <v>1278</v>
      </c>
      <c r="D169" s="11" t="s">
        <v>1279</v>
      </c>
      <c r="E169" s="20" t="s">
        <v>648</v>
      </c>
      <c r="F169" s="11" t="s">
        <v>796</v>
      </c>
      <c r="G169" s="11" t="s">
        <v>270</v>
      </c>
      <c r="H169" s="11" t="s">
        <v>232</v>
      </c>
      <c r="I169" s="11" t="s">
        <v>270</v>
      </c>
      <c r="J169" s="11" t="s">
        <v>71</v>
      </c>
      <c r="K169" s="13" t="n">
        <v>260</v>
      </c>
      <c r="L169" s="13" t="n">
        <v>110</v>
      </c>
      <c r="M169" s="13" t="n">
        <f aca="false">K169+L169</f>
        <v>370</v>
      </c>
      <c r="N169" s="19" t="n">
        <v>9.2</v>
      </c>
      <c r="O169" s="19" t="n">
        <f aca="false">IF(N169&lt;=35,1,0.25)*M169/(N169+10)*IF(ISNUMBER(SEARCH("KD mismatch",U169)),0.25,1)</f>
        <v>19.2708333333333</v>
      </c>
      <c r="P169" s="20" t="str">
        <f aca="false">IF(N169&lt;=10,"Quick win",IF(N169&lt;=20,"Strong",IF(N169&lt;=35,"Moderate","Stretch")))</f>
        <v>Quick win</v>
      </c>
      <c r="Q169" s="12"/>
      <c r="R169" s="12"/>
      <c r="S169" s="12" t="s">
        <v>950</v>
      </c>
      <c r="T169" s="12"/>
      <c r="U169" s="12"/>
      <c r="V169" s="14" t="s">
        <v>203</v>
      </c>
      <c r="W169" s="14"/>
      <c r="X169" s="15"/>
      <c r="Y169" s="14"/>
      <c r="Z169" s="24"/>
    </row>
    <row r="170" customFormat="false" ht="23.85" hidden="false" customHeight="false" outlineLevel="0" collapsed="false">
      <c r="A170" s="11" t="n">
        <v>169</v>
      </c>
      <c r="B170" s="11" t="s">
        <v>3</v>
      </c>
      <c r="C170" s="11" t="s">
        <v>1280</v>
      </c>
      <c r="D170" s="11" t="s">
        <v>1281</v>
      </c>
      <c r="E170" s="20" t="s">
        <v>627</v>
      </c>
      <c r="F170" s="11" t="s">
        <v>881</v>
      </c>
      <c r="G170" s="11" t="s">
        <v>298</v>
      </c>
      <c r="H170" s="11" t="s">
        <v>214</v>
      </c>
      <c r="I170" s="11" t="s">
        <v>298</v>
      </c>
      <c r="J170" s="11" t="s">
        <v>182</v>
      </c>
      <c r="K170" s="13" t="n">
        <v>480</v>
      </c>
      <c r="L170" s="13" t="n">
        <v>0</v>
      </c>
      <c r="M170" s="13" t="n">
        <f aca="false">K170+L170</f>
        <v>480</v>
      </c>
      <c r="N170" s="19" t="n">
        <v>15</v>
      </c>
      <c r="O170" s="19" t="n">
        <f aca="false">IF(N170&lt;=35,1,0.25)*M170/(N170+10)*IF(ISNUMBER(SEARCH("KD mismatch",U170)),0.25,1)</f>
        <v>19.2</v>
      </c>
      <c r="P170" s="20" t="str">
        <f aca="false">IF(N170&lt;=10,"Quick win",IF(N170&lt;=20,"Strong",IF(N170&lt;=35,"Moderate","Stretch")))</f>
        <v>Strong</v>
      </c>
      <c r="Q170" s="12"/>
      <c r="R170" s="12"/>
      <c r="S170" s="12" t="s">
        <v>1254</v>
      </c>
      <c r="T170" s="12"/>
      <c r="U170" s="12"/>
      <c r="V170" s="14" t="s">
        <v>203</v>
      </c>
      <c r="W170" s="14"/>
      <c r="X170" s="15"/>
      <c r="Y170" s="14"/>
      <c r="Z170" s="24"/>
    </row>
    <row r="171" customFormat="false" ht="23.85" hidden="false" customHeight="false" outlineLevel="0" collapsed="false">
      <c r="A171" s="11" t="n">
        <v>170</v>
      </c>
      <c r="B171" s="11" t="s">
        <v>3</v>
      </c>
      <c r="C171" s="11" t="s">
        <v>1282</v>
      </c>
      <c r="D171" s="11" t="s">
        <v>1283</v>
      </c>
      <c r="E171" s="20" t="s">
        <v>648</v>
      </c>
      <c r="F171" s="11" t="s">
        <v>649</v>
      </c>
      <c r="G171" s="11" t="s">
        <v>1076</v>
      </c>
      <c r="H171" s="11" t="s">
        <v>367</v>
      </c>
      <c r="I171" s="11" t="s">
        <v>367</v>
      </c>
      <c r="J171" s="11" t="s">
        <v>71</v>
      </c>
      <c r="K171" s="13" t="n">
        <v>0</v>
      </c>
      <c r="L171" s="13" t="n">
        <v>480</v>
      </c>
      <c r="M171" s="13" t="n">
        <f aca="false">K171+L171</f>
        <v>480</v>
      </c>
      <c r="N171" s="19" t="n">
        <v>15</v>
      </c>
      <c r="O171" s="19" t="n">
        <f aca="false">IF(N171&lt;=35,1,0.25)*M171/(N171+10)*IF(ISNUMBER(SEARCH("KD mismatch",U171)),0.25,1)</f>
        <v>19.2</v>
      </c>
      <c r="P171" s="20" t="str">
        <f aca="false">IF(N171&lt;=10,"Quick win",IF(N171&lt;=20,"Strong",IF(N171&lt;=35,"Moderate","Stretch")))</f>
        <v>Strong</v>
      </c>
      <c r="Q171" s="12"/>
      <c r="R171" s="12"/>
      <c r="S171" s="12" t="s">
        <v>1284</v>
      </c>
      <c r="T171" s="12"/>
      <c r="U171" s="12"/>
      <c r="V171" s="14" t="s">
        <v>203</v>
      </c>
      <c r="W171" s="14"/>
      <c r="X171" s="15"/>
      <c r="Y171" s="14"/>
      <c r="Z171" s="24"/>
    </row>
    <row r="172" customFormat="false" ht="23.85" hidden="false" customHeight="false" outlineLevel="0" collapsed="false">
      <c r="A172" s="11" t="n">
        <v>171</v>
      </c>
      <c r="B172" s="11" t="s">
        <v>3</v>
      </c>
      <c r="C172" s="11" t="s">
        <v>1285</v>
      </c>
      <c r="D172" s="11" t="s">
        <v>1286</v>
      </c>
      <c r="E172" s="20" t="s">
        <v>648</v>
      </c>
      <c r="F172" s="11" t="s">
        <v>1287</v>
      </c>
      <c r="G172" s="11" t="s">
        <v>89</v>
      </c>
      <c r="H172" s="11" t="s">
        <v>224</v>
      </c>
      <c r="I172" s="11" t="s">
        <v>89</v>
      </c>
      <c r="J172" s="11" t="s">
        <v>71</v>
      </c>
      <c r="K172" s="13" t="n">
        <v>210</v>
      </c>
      <c r="L172" s="13" t="n">
        <v>140</v>
      </c>
      <c r="M172" s="13" t="n">
        <f aca="false">K172+L172</f>
        <v>350</v>
      </c>
      <c r="N172" s="19" t="n">
        <v>8.4</v>
      </c>
      <c r="O172" s="19" t="n">
        <f aca="false">IF(N172&lt;=35,1,0.25)*M172/(N172+10)*IF(ISNUMBER(SEARCH("KD mismatch",U172)),0.25,1)</f>
        <v>19.0217391304348</v>
      </c>
      <c r="P172" s="20" t="str">
        <f aca="false">IF(N172&lt;=10,"Quick win",IF(N172&lt;=20,"Strong",IF(N172&lt;=35,"Moderate","Stretch")))</f>
        <v>Quick win</v>
      </c>
      <c r="Q172" s="12"/>
      <c r="R172" s="12"/>
      <c r="S172" s="12" t="s">
        <v>1288</v>
      </c>
      <c r="T172" s="12"/>
      <c r="U172" s="12"/>
      <c r="V172" s="14" t="s">
        <v>203</v>
      </c>
      <c r="W172" s="14"/>
      <c r="X172" s="15"/>
      <c r="Y172" s="14"/>
      <c r="Z172" s="24"/>
    </row>
    <row r="173" customFormat="false" ht="23.85" hidden="false" customHeight="false" outlineLevel="0" collapsed="false">
      <c r="A173" s="11" t="n">
        <v>172</v>
      </c>
      <c r="B173" s="11" t="s">
        <v>3</v>
      </c>
      <c r="C173" s="11" t="s">
        <v>1289</v>
      </c>
      <c r="D173" s="11" t="s">
        <v>1290</v>
      </c>
      <c r="E173" s="20" t="s">
        <v>627</v>
      </c>
      <c r="F173" s="11" t="s">
        <v>1199</v>
      </c>
      <c r="G173" s="11" t="s">
        <v>241</v>
      </c>
      <c r="H173" s="11" t="s">
        <v>241</v>
      </c>
      <c r="I173" s="11" t="s">
        <v>241</v>
      </c>
      <c r="J173" s="11" t="s">
        <v>184</v>
      </c>
      <c r="K173" s="13" t="n">
        <v>100</v>
      </c>
      <c r="L173" s="13" t="n">
        <v>280</v>
      </c>
      <c r="M173" s="13" t="n">
        <f aca="false">K173+L173</f>
        <v>380</v>
      </c>
      <c r="N173" s="19" t="n">
        <v>10.1</v>
      </c>
      <c r="O173" s="19" t="n">
        <f aca="false">IF(N173&lt;=35,1,0.25)*M173/(N173+10)*IF(ISNUMBER(SEARCH("KD mismatch",U173)),0.25,1)</f>
        <v>18.9054726368159</v>
      </c>
      <c r="P173" s="20" t="str">
        <f aca="false">IF(N173&lt;=10,"Quick win",IF(N173&lt;=20,"Strong",IF(N173&lt;=35,"Moderate","Stretch")))</f>
        <v>Strong</v>
      </c>
      <c r="Q173" s="12" t="s">
        <v>1291</v>
      </c>
      <c r="R173" s="12"/>
      <c r="S173" s="12" t="s">
        <v>1292</v>
      </c>
      <c r="T173" s="12"/>
      <c r="U173" s="12"/>
      <c r="V173" s="14" t="s">
        <v>203</v>
      </c>
      <c r="W173" s="14"/>
      <c r="X173" s="15"/>
      <c r="Y173" s="14"/>
      <c r="Z173" s="24"/>
    </row>
    <row r="174" customFormat="false" ht="23.85" hidden="false" customHeight="false" outlineLevel="0" collapsed="false">
      <c r="A174" s="11" t="n">
        <v>173</v>
      </c>
      <c r="B174" s="11" t="s">
        <v>3</v>
      </c>
      <c r="C174" s="11" t="s">
        <v>1293</v>
      </c>
      <c r="D174" s="11" t="s">
        <v>1294</v>
      </c>
      <c r="E174" s="20" t="s">
        <v>627</v>
      </c>
      <c r="F174" s="11" t="s">
        <v>642</v>
      </c>
      <c r="G174" s="11" t="s">
        <v>1295</v>
      </c>
      <c r="H174" s="11" t="s">
        <v>385</v>
      </c>
      <c r="I174" s="11" t="s">
        <v>385</v>
      </c>
      <c r="J174" s="11" t="s">
        <v>56</v>
      </c>
      <c r="K174" s="13" t="n">
        <v>320</v>
      </c>
      <c r="L174" s="13" t="n">
        <v>0</v>
      </c>
      <c r="M174" s="13" t="n">
        <f aca="false">K174+L174</f>
        <v>320</v>
      </c>
      <c r="N174" s="19" t="n">
        <v>7</v>
      </c>
      <c r="O174" s="19" t="n">
        <f aca="false">IF(N174&lt;=35,1,0.25)*M174/(N174+10)*IF(ISNUMBER(SEARCH("KD mismatch",U174)),0.25,1)</f>
        <v>18.8235294117647</v>
      </c>
      <c r="P174" s="20" t="str">
        <f aca="false">IF(N174&lt;=10,"Quick win",IF(N174&lt;=20,"Strong",IF(N174&lt;=35,"Moderate","Stretch")))</f>
        <v>Quick win</v>
      </c>
      <c r="Q174" s="12"/>
      <c r="R174" s="12"/>
      <c r="S174" s="12" t="s">
        <v>1296</v>
      </c>
      <c r="T174" s="12"/>
      <c r="U174" s="12"/>
      <c r="V174" s="14" t="s">
        <v>203</v>
      </c>
      <c r="W174" s="14"/>
      <c r="X174" s="15"/>
      <c r="Y174" s="14"/>
      <c r="Z174" s="24"/>
    </row>
    <row r="175" customFormat="false" ht="23.85" hidden="false" customHeight="false" outlineLevel="0" collapsed="false">
      <c r="A175" s="11" t="n">
        <v>174</v>
      </c>
      <c r="B175" s="11" t="s">
        <v>3</v>
      </c>
      <c r="C175" s="11" t="s">
        <v>1297</v>
      </c>
      <c r="D175" s="11" t="s">
        <v>1298</v>
      </c>
      <c r="E175" s="20" t="s">
        <v>648</v>
      </c>
      <c r="F175" s="11" t="s">
        <v>649</v>
      </c>
      <c r="G175" s="11" t="s">
        <v>917</v>
      </c>
      <c r="H175" s="11" t="s">
        <v>196</v>
      </c>
      <c r="I175" s="11" t="s">
        <v>196</v>
      </c>
      <c r="J175" s="11" t="s">
        <v>71</v>
      </c>
      <c r="K175" s="13" t="n">
        <v>0</v>
      </c>
      <c r="L175" s="13" t="n">
        <v>410</v>
      </c>
      <c r="M175" s="13" t="n">
        <f aca="false">K175+L175</f>
        <v>410</v>
      </c>
      <c r="N175" s="19" t="n">
        <v>12</v>
      </c>
      <c r="O175" s="19" t="n">
        <f aca="false">IF(N175&lt;=35,1,0.25)*M175/(N175+10)*IF(ISNUMBER(SEARCH("KD mismatch",U175)),0.25,1)</f>
        <v>18.6363636363636</v>
      </c>
      <c r="P175" s="20" t="str">
        <f aca="false">IF(N175&lt;=10,"Quick win",IF(N175&lt;=20,"Strong",IF(N175&lt;=35,"Moderate","Stretch")))</f>
        <v>Strong</v>
      </c>
      <c r="Q175" s="12"/>
      <c r="R175" s="12"/>
      <c r="S175" s="12" t="s">
        <v>1299</v>
      </c>
      <c r="T175" s="12"/>
      <c r="U175" s="12"/>
      <c r="V175" s="14" t="s">
        <v>203</v>
      </c>
      <c r="W175" s="14"/>
      <c r="X175" s="15"/>
      <c r="Y175" s="14"/>
      <c r="Z175" s="24"/>
    </row>
    <row r="176" customFormat="false" ht="23.85" hidden="false" customHeight="false" outlineLevel="0" collapsed="false">
      <c r="A176" s="11" t="n">
        <v>175</v>
      </c>
      <c r="B176" s="11" t="s">
        <v>3</v>
      </c>
      <c r="C176" s="11" t="s">
        <v>1300</v>
      </c>
      <c r="D176" s="11" t="s">
        <v>1301</v>
      </c>
      <c r="E176" s="20" t="s">
        <v>627</v>
      </c>
      <c r="F176" s="11" t="s">
        <v>642</v>
      </c>
      <c r="G176" s="11" t="s">
        <v>1119</v>
      </c>
      <c r="H176" s="11" t="s">
        <v>311</v>
      </c>
      <c r="I176" s="11" t="s">
        <v>311</v>
      </c>
      <c r="J176" s="11" t="s">
        <v>56</v>
      </c>
      <c r="K176" s="13" t="n">
        <v>480</v>
      </c>
      <c r="L176" s="13" t="n">
        <v>0</v>
      </c>
      <c r="M176" s="13" t="n">
        <f aca="false">K176+L176</f>
        <v>480</v>
      </c>
      <c r="N176" s="19" t="n">
        <v>16</v>
      </c>
      <c r="O176" s="19" t="n">
        <f aca="false">IF(N176&lt;=35,1,0.25)*M176/(N176+10)*IF(ISNUMBER(SEARCH("KD mismatch",U176)),0.25,1)</f>
        <v>18.4615384615385</v>
      </c>
      <c r="P176" s="20" t="str">
        <f aca="false">IF(N176&lt;=10,"Quick win",IF(N176&lt;=20,"Strong",IF(N176&lt;=35,"Moderate","Stretch")))</f>
        <v>Strong</v>
      </c>
      <c r="Q176" s="12"/>
      <c r="R176" s="12"/>
      <c r="S176" s="12" t="s">
        <v>1120</v>
      </c>
      <c r="T176" s="12"/>
      <c r="U176" s="12"/>
      <c r="V176" s="14" t="s">
        <v>203</v>
      </c>
      <c r="W176" s="14"/>
      <c r="X176" s="15"/>
      <c r="Y176" s="14"/>
      <c r="Z176" s="24"/>
    </row>
    <row r="177" customFormat="false" ht="23.85" hidden="false" customHeight="false" outlineLevel="0" collapsed="false">
      <c r="A177" s="11" t="n">
        <v>176</v>
      </c>
      <c r="B177" s="11" t="s">
        <v>3</v>
      </c>
      <c r="C177" s="11" t="s">
        <v>1302</v>
      </c>
      <c r="D177" s="11" t="s">
        <v>1303</v>
      </c>
      <c r="E177" s="20" t="s">
        <v>648</v>
      </c>
      <c r="F177" s="11" t="s">
        <v>649</v>
      </c>
      <c r="G177" s="11" t="s">
        <v>370</v>
      </c>
      <c r="H177" s="11" t="s">
        <v>334</v>
      </c>
      <c r="I177" s="11" t="s">
        <v>370</v>
      </c>
      <c r="J177" s="11" t="s">
        <v>71</v>
      </c>
      <c r="K177" s="13" t="n">
        <v>130</v>
      </c>
      <c r="L177" s="13" t="n">
        <v>360</v>
      </c>
      <c r="M177" s="13" t="n">
        <f aca="false">K177+L177</f>
        <v>490</v>
      </c>
      <c r="N177" s="19" t="n">
        <v>16.8</v>
      </c>
      <c r="O177" s="19" t="n">
        <f aca="false">IF(N177&lt;=35,1,0.25)*M177/(N177+10)*IF(ISNUMBER(SEARCH("KD mismatch",U177)),0.25,1)</f>
        <v>18.2835820895522</v>
      </c>
      <c r="P177" s="20" t="str">
        <f aca="false">IF(N177&lt;=10,"Quick win",IF(N177&lt;=20,"Strong",IF(N177&lt;=35,"Moderate","Stretch")))</f>
        <v>Strong</v>
      </c>
      <c r="Q177" s="12" t="s">
        <v>1304</v>
      </c>
      <c r="R177" s="12"/>
      <c r="S177" s="12" t="s">
        <v>1305</v>
      </c>
      <c r="T177" s="12"/>
      <c r="U177" s="12"/>
      <c r="V177" s="14" t="s">
        <v>203</v>
      </c>
      <c r="W177" s="14"/>
      <c r="X177" s="15"/>
      <c r="Y177" s="14"/>
      <c r="Z177" s="24"/>
    </row>
    <row r="178" customFormat="false" ht="23.85" hidden="false" customHeight="false" outlineLevel="0" collapsed="false">
      <c r="A178" s="11" t="n">
        <v>177</v>
      </c>
      <c r="B178" s="11" t="s">
        <v>3</v>
      </c>
      <c r="C178" s="11" t="s">
        <v>1306</v>
      </c>
      <c r="D178" s="11" t="s">
        <v>1307</v>
      </c>
      <c r="E178" s="20" t="s">
        <v>648</v>
      </c>
      <c r="F178" s="11" t="s">
        <v>1308</v>
      </c>
      <c r="G178" s="11" t="s">
        <v>115</v>
      </c>
      <c r="H178" s="11" t="s">
        <v>706</v>
      </c>
      <c r="I178" s="11" t="s">
        <v>115</v>
      </c>
      <c r="J178" s="11" t="s">
        <v>71</v>
      </c>
      <c r="K178" s="13" t="n">
        <v>110</v>
      </c>
      <c r="L178" s="13" t="n">
        <v>170</v>
      </c>
      <c r="M178" s="13" t="n">
        <f aca="false">K178+L178</f>
        <v>280</v>
      </c>
      <c r="N178" s="19" t="n">
        <v>5.6</v>
      </c>
      <c r="O178" s="19" t="n">
        <f aca="false">IF(N178&lt;=35,1,0.25)*M178/(N178+10)*IF(ISNUMBER(SEARCH("KD mismatch",U178)),0.25,1)</f>
        <v>17.948717948718</v>
      </c>
      <c r="P178" s="20" t="str">
        <f aca="false">IF(N178&lt;=10,"Quick win",IF(N178&lt;=20,"Strong",IF(N178&lt;=35,"Moderate","Stretch")))</f>
        <v>Quick win</v>
      </c>
      <c r="Q178" s="12"/>
      <c r="R178" s="12"/>
      <c r="S178" s="12" t="s">
        <v>1309</v>
      </c>
      <c r="T178" s="12" t="s">
        <v>709</v>
      </c>
      <c r="U178" s="12"/>
      <c r="V178" s="14" t="s">
        <v>203</v>
      </c>
      <c r="W178" s="14"/>
      <c r="X178" s="15"/>
      <c r="Y178" s="14"/>
      <c r="Z178" s="24"/>
    </row>
    <row r="179" customFormat="false" ht="23.85" hidden="false" customHeight="false" outlineLevel="0" collapsed="false">
      <c r="A179" s="11" t="n">
        <v>178</v>
      </c>
      <c r="B179" s="11" t="s">
        <v>3</v>
      </c>
      <c r="C179" s="11" t="s">
        <v>1310</v>
      </c>
      <c r="D179" s="11" t="s">
        <v>1311</v>
      </c>
      <c r="E179" s="20" t="s">
        <v>648</v>
      </c>
      <c r="F179" s="11" t="s">
        <v>700</v>
      </c>
      <c r="G179" s="11" t="s">
        <v>324</v>
      </c>
      <c r="H179" s="11" t="s">
        <v>999</v>
      </c>
      <c r="I179" s="11" t="s">
        <v>324</v>
      </c>
      <c r="J179" s="11" t="s">
        <v>143</v>
      </c>
      <c r="K179" s="13" t="n">
        <v>110</v>
      </c>
      <c r="L179" s="13" t="n">
        <v>170</v>
      </c>
      <c r="M179" s="13" t="n">
        <f aca="false">K179+L179</f>
        <v>280</v>
      </c>
      <c r="N179" s="19" t="n">
        <v>5.6</v>
      </c>
      <c r="O179" s="19" t="n">
        <f aca="false">IF(N179&lt;=35,1,0.25)*M179/(N179+10)*IF(ISNUMBER(SEARCH("KD mismatch",U179)),0.25,1)</f>
        <v>17.948717948718</v>
      </c>
      <c r="P179" s="20" t="str">
        <f aca="false">IF(N179&lt;=10,"Quick win",IF(N179&lt;=20,"Strong",IF(N179&lt;=35,"Moderate","Stretch")))</f>
        <v>Quick win</v>
      </c>
      <c r="Q179" s="12"/>
      <c r="R179" s="12"/>
      <c r="S179" s="12" t="s">
        <v>1312</v>
      </c>
      <c r="T179" s="12"/>
      <c r="U179" s="12"/>
      <c r="V179" s="14" t="s">
        <v>203</v>
      </c>
      <c r="W179" s="14"/>
      <c r="X179" s="15"/>
      <c r="Y179" s="14"/>
      <c r="Z179" s="24"/>
    </row>
    <row r="180" customFormat="false" ht="23.85" hidden="false" customHeight="false" outlineLevel="0" collapsed="false">
      <c r="A180" s="11" t="n">
        <v>179</v>
      </c>
      <c r="B180" s="11" t="s">
        <v>3</v>
      </c>
      <c r="C180" s="11" t="s">
        <v>1313</v>
      </c>
      <c r="D180" s="11" t="s">
        <v>1314</v>
      </c>
      <c r="E180" s="20" t="s">
        <v>648</v>
      </c>
      <c r="F180" s="11" t="s">
        <v>700</v>
      </c>
      <c r="G180" s="11" t="s">
        <v>124</v>
      </c>
      <c r="H180" s="11" t="s">
        <v>711</v>
      </c>
      <c r="I180" s="11" t="s">
        <v>124</v>
      </c>
      <c r="J180" s="11" t="s">
        <v>143</v>
      </c>
      <c r="K180" s="13" t="n">
        <v>320</v>
      </c>
      <c r="L180" s="13" t="n">
        <v>0</v>
      </c>
      <c r="M180" s="13" t="n">
        <f aca="false">K180+L180</f>
        <v>320</v>
      </c>
      <c r="N180" s="19" t="n">
        <v>8</v>
      </c>
      <c r="O180" s="19" t="n">
        <f aca="false">IF(N180&lt;=35,1,0.25)*M180/(N180+10)*IF(ISNUMBER(SEARCH("KD mismatch",U180)),0.25,1)</f>
        <v>17.7777777777778</v>
      </c>
      <c r="P180" s="20" t="str">
        <f aca="false">IF(N180&lt;=10,"Quick win",IF(N180&lt;=20,"Strong",IF(N180&lt;=35,"Moderate","Stretch")))</f>
        <v>Quick win</v>
      </c>
      <c r="Q180" s="12"/>
      <c r="R180" s="12"/>
      <c r="S180" s="12" t="s">
        <v>1315</v>
      </c>
      <c r="T180" s="12"/>
      <c r="U180" s="12"/>
      <c r="V180" s="14" t="s">
        <v>203</v>
      </c>
      <c r="W180" s="14"/>
      <c r="X180" s="15"/>
      <c r="Y180" s="14"/>
      <c r="Z180" s="24"/>
    </row>
    <row r="181" customFormat="false" ht="23.85" hidden="false" customHeight="false" outlineLevel="0" collapsed="false">
      <c r="A181" s="11" t="n">
        <v>180</v>
      </c>
      <c r="B181" s="11" t="s">
        <v>3</v>
      </c>
      <c r="C181" s="11" t="s">
        <v>1316</v>
      </c>
      <c r="D181" s="11" t="s">
        <v>1317</v>
      </c>
      <c r="E181" s="20" t="s">
        <v>627</v>
      </c>
      <c r="F181" s="11" t="s">
        <v>642</v>
      </c>
      <c r="G181" s="11" t="s">
        <v>361</v>
      </c>
      <c r="H181" s="11" t="s">
        <v>214</v>
      </c>
      <c r="I181" s="11" t="s">
        <v>361</v>
      </c>
      <c r="J181" s="11" t="s">
        <v>56</v>
      </c>
      <c r="K181" s="13" t="n">
        <v>480</v>
      </c>
      <c r="L181" s="13" t="n">
        <v>0</v>
      </c>
      <c r="M181" s="13" t="n">
        <f aca="false">K181+L181</f>
        <v>480</v>
      </c>
      <c r="N181" s="19" t="n">
        <v>17</v>
      </c>
      <c r="O181" s="19" t="n">
        <f aca="false">IF(N181&lt;=35,1,0.25)*M181/(N181+10)*IF(ISNUMBER(SEARCH("KD mismatch",U181)),0.25,1)</f>
        <v>17.7777777777778</v>
      </c>
      <c r="P181" s="20" t="str">
        <f aca="false">IF(N181&lt;=10,"Quick win",IF(N181&lt;=20,"Strong",IF(N181&lt;=35,"Moderate","Stretch")))</f>
        <v>Strong</v>
      </c>
      <c r="Q181" s="12"/>
      <c r="R181" s="12"/>
      <c r="S181" s="12" t="s">
        <v>1318</v>
      </c>
      <c r="T181" s="12"/>
      <c r="U181" s="12"/>
      <c r="V181" s="14" t="s">
        <v>203</v>
      </c>
      <c r="W181" s="14"/>
      <c r="X181" s="15"/>
      <c r="Y181" s="14"/>
      <c r="Z181" s="24"/>
    </row>
    <row r="182" customFormat="false" ht="23.85" hidden="false" customHeight="false" outlineLevel="0" collapsed="false">
      <c r="A182" s="11" t="n">
        <v>181</v>
      </c>
      <c r="B182" s="11" t="s">
        <v>3</v>
      </c>
      <c r="C182" s="11" t="s">
        <v>1319</v>
      </c>
      <c r="D182" s="11" t="s">
        <v>1320</v>
      </c>
      <c r="E182" s="20" t="s">
        <v>648</v>
      </c>
      <c r="F182" s="11" t="s">
        <v>1308</v>
      </c>
      <c r="G182" s="11" t="s">
        <v>256</v>
      </c>
      <c r="H182" s="11" t="s">
        <v>257</v>
      </c>
      <c r="I182" s="11" t="s">
        <v>256</v>
      </c>
      <c r="J182" s="11" t="s">
        <v>71</v>
      </c>
      <c r="K182" s="13" t="n">
        <v>260</v>
      </c>
      <c r="L182" s="13" t="n">
        <v>170</v>
      </c>
      <c r="M182" s="13" t="n">
        <f aca="false">K182+L182</f>
        <v>430</v>
      </c>
      <c r="N182" s="19" t="n">
        <v>14.2</v>
      </c>
      <c r="O182" s="19" t="n">
        <f aca="false">IF(N182&lt;=35,1,0.25)*M182/(N182+10)*IF(ISNUMBER(SEARCH("KD mismatch",U182)),0.25,1)</f>
        <v>17.7685950413223</v>
      </c>
      <c r="P182" s="20" t="str">
        <f aca="false">IF(N182&lt;=10,"Quick win",IF(N182&lt;=20,"Strong",IF(N182&lt;=35,"Moderate","Stretch")))</f>
        <v>Strong</v>
      </c>
      <c r="Q182" s="12"/>
      <c r="R182" s="12"/>
      <c r="S182" s="12" t="s">
        <v>812</v>
      </c>
      <c r="T182" s="12"/>
      <c r="U182" s="12"/>
      <c r="V182" s="14" t="s">
        <v>203</v>
      </c>
      <c r="W182" s="14"/>
      <c r="X182" s="15"/>
      <c r="Y182" s="14"/>
      <c r="Z182" s="24"/>
    </row>
    <row r="183" customFormat="false" ht="23.85" hidden="false" customHeight="false" outlineLevel="0" collapsed="false">
      <c r="A183" s="11" t="n">
        <v>182</v>
      </c>
      <c r="B183" s="11" t="s">
        <v>3</v>
      </c>
      <c r="C183" s="11" t="s">
        <v>1321</v>
      </c>
      <c r="D183" s="11" t="s">
        <v>1322</v>
      </c>
      <c r="E183" s="20" t="s">
        <v>627</v>
      </c>
      <c r="F183" s="11" t="s">
        <v>642</v>
      </c>
      <c r="G183" s="11" t="s">
        <v>1323</v>
      </c>
      <c r="H183" s="11" t="s">
        <v>341</v>
      </c>
      <c r="I183" s="11" t="s">
        <v>341</v>
      </c>
      <c r="J183" s="11" t="s">
        <v>56</v>
      </c>
      <c r="K183" s="13" t="n">
        <v>210</v>
      </c>
      <c r="L183" s="13" t="n">
        <v>70</v>
      </c>
      <c r="M183" s="13" t="n">
        <f aca="false">K183+L183</f>
        <v>280</v>
      </c>
      <c r="N183" s="19" t="n">
        <v>6</v>
      </c>
      <c r="O183" s="19" t="n">
        <f aca="false">IF(N183&lt;=35,1,0.25)*M183/(N183+10)*IF(ISNUMBER(SEARCH("KD mismatch",U183)),0.25,1)</f>
        <v>17.5</v>
      </c>
      <c r="P183" s="20" t="str">
        <f aca="false">IF(N183&lt;=10,"Quick win",IF(N183&lt;=20,"Strong",IF(N183&lt;=35,"Moderate","Stretch")))</f>
        <v>Quick win</v>
      </c>
      <c r="Q183" s="12"/>
      <c r="R183" s="12"/>
      <c r="S183" s="12" t="s">
        <v>1324</v>
      </c>
      <c r="T183" s="12"/>
      <c r="U183" s="12"/>
      <c r="V183" s="14" t="s">
        <v>203</v>
      </c>
      <c r="W183" s="14"/>
      <c r="X183" s="15"/>
      <c r="Y183" s="14"/>
      <c r="Z183" s="24"/>
    </row>
    <row r="184" customFormat="false" ht="23.85" hidden="false" customHeight="false" outlineLevel="0" collapsed="false">
      <c r="A184" s="11" t="n">
        <v>183</v>
      </c>
      <c r="B184" s="11" t="s">
        <v>3</v>
      </c>
      <c r="C184" s="11" t="s">
        <v>1325</v>
      </c>
      <c r="D184" s="11" t="s">
        <v>1326</v>
      </c>
      <c r="E184" s="20" t="s">
        <v>648</v>
      </c>
      <c r="F184" s="11" t="s">
        <v>649</v>
      </c>
      <c r="G184" s="11" t="s">
        <v>1327</v>
      </c>
      <c r="H184" s="11" t="s">
        <v>1328</v>
      </c>
      <c r="I184" s="11" t="s">
        <v>399</v>
      </c>
      <c r="J184" s="11" t="s">
        <v>71</v>
      </c>
      <c r="K184" s="13" t="n">
        <v>590</v>
      </c>
      <c r="L184" s="13" t="n">
        <v>0</v>
      </c>
      <c r="M184" s="13" t="n">
        <f aca="false">K184+L184</f>
        <v>590</v>
      </c>
      <c r="N184" s="19" t="n">
        <v>24</v>
      </c>
      <c r="O184" s="19" t="n">
        <f aca="false">IF(N184&lt;=35,1,0.25)*M184/(N184+10)*IF(ISNUMBER(SEARCH("KD mismatch",U184)),0.25,1)</f>
        <v>17.3529411764706</v>
      </c>
      <c r="P184" s="20" t="str">
        <f aca="false">IF(N184&lt;=10,"Quick win",IF(N184&lt;=20,"Strong",IF(N184&lt;=35,"Moderate","Stretch")))</f>
        <v>Moderate</v>
      </c>
      <c r="Q184" s="12"/>
      <c r="R184" s="12"/>
      <c r="S184" s="12" t="s">
        <v>1329</v>
      </c>
      <c r="T184" s="12"/>
      <c r="U184" s="12" t="s">
        <v>667</v>
      </c>
      <c r="V184" s="14" t="s">
        <v>203</v>
      </c>
      <c r="W184" s="14"/>
      <c r="X184" s="15"/>
      <c r="Y184" s="14"/>
      <c r="Z184" s="24"/>
    </row>
    <row r="185" customFormat="false" ht="23.85" hidden="false" customHeight="false" outlineLevel="0" collapsed="false">
      <c r="A185" s="11" t="n">
        <v>184</v>
      </c>
      <c r="B185" s="11" t="s">
        <v>3</v>
      </c>
      <c r="C185" s="11" t="s">
        <v>1330</v>
      </c>
      <c r="D185" s="11" t="s">
        <v>1331</v>
      </c>
      <c r="E185" s="20" t="s">
        <v>648</v>
      </c>
      <c r="F185" s="11" t="s">
        <v>649</v>
      </c>
      <c r="G185" s="11" t="s">
        <v>348</v>
      </c>
      <c r="H185" s="11" t="s">
        <v>232</v>
      </c>
      <c r="I185" s="11" t="s">
        <v>348</v>
      </c>
      <c r="J185" s="11" t="s">
        <v>71</v>
      </c>
      <c r="K185" s="13" t="n">
        <v>0</v>
      </c>
      <c r="L185" s="13" t="n">
        <v>260</v>
      </c>
      <c r="M185" s="13" t="n">
        <f aca="false">K185+L185</f>
        <v>260</v>
      </c>
      <c r="N185" s="19" t="n">
        <v>5</v>
      </c>
      <c r="O185" s="19" t="n">
        <f aca="false">IF(N185&lt;=35,1,0.25)*M185/(N185+10)*IF(ISNUMBER(SEARCH("KD mismatch",U185)),0.25,1)</f>
        <v>17.3333333333333</v>
      </c>
      <c r="P185" s="20" t="str">
        <f aca="false">IF(N185&lt;=10,"Quick win",IF(N185&lt;=20,"Strong",IF(N185&lt;=35,"Moderate","Stretch")))</f>
        <v>Quick win</v>
      </c>
      <c r="Q185" s="12"/>
      <c r="R185" s="12" t="s">
        <v>1332</v>
      </c>
      <c r="S185" s="12" t="s">
        <v>1333</v>
      </c>
      <c r="T185" s="12"/>
      <c r="U185" s="12"/>
      <c r="V185" s="14" t="s">
        <v>203</v>
      </c>
      <c r="W185" s="14"/>
      <c r="X185" s="15"/>
      <c r="Y185" s="14"/>
      <c r="Z185" s="24"/>
    </row>
    <row r="186" customFormat="false" ht="23.85" hidden="false" customHeight="false" outlineLevel="0" collapsed="false">
      <c r="A186" s="11" t="n">
        <v>185</v>
      </c>
      <c r="B186" s="11" t="s">
        <v>3</v>
      </c>
      <c r="C186" s="11" t="s">
        <v>1334</v>
      </c>
      <c r="D186" s="11" t="s">
        <v>1335</v>
      </c>
      <c r="E186" s="20" t="s">
        <v>648</v>
      </c>
      <c r="F186" s="11" t="s">
        <v>692</v>
      </c>
      <c r="G186" s="11" t="s">
        <v>89</v>
      </c>
      <c r="H186" s="11" t="s">
        <v>224</v>
      </c>
      <c r="I186" s="11" t="s">
        <v>89</v>
      </c>
      <c r="J186" s="11" t="s">
        <v>71</v>
      </c>
      <c r="K186" s="13" t="n">
        <v>170</v>
      </c>
      <c r="L186" s="13" t="n">
        <v>0</v>
      </c>
      <c r="M186" s="13" t="n">
        <f aca="false">K186+L186</f>
        <v>170</v>
      </c>
      <c r="N186" s="19" t="n">
        <v>0</v>
      </c>
      <c r="O186" s="19" t="n">
        <f aca="false">IF(N186&lt;=35,1,0.25)*M186/(N186+10)*IF(ISNUMBER(SEARCH("KD mismatch",U186)),0.25,1)</f>
        <v>17</v>
      </c>
      <c r="P186" s="20" t="str">
        <f aca="false">IF(N186&lt;=10,"Quick win",IF(N186&lt;=20,"Strong",IF(N186&lt;=35,"Moderate","Stretch")))</f>
        <v>Quick win</v>
      </c>
      <c r="Q186" s="12"/>
      <c r="R186" s="12"/>
      <c r="S186" s="12" t="s">
        <v>1336</v>
      </c>
      <c r="T186" s="12"/>
      <c r="U186" s="12"/>
      <c r="V186" s="14" t="s">
        <v>203</v>
      </c>
      <c r="W186" s="14"/>
      <c r="X186" s="15"/>
      <c r="Y186" s="14"/>
      <c r="Z186" s="24"/>
    </row>
    <row r="187" customFormat="false" ht="23.85" hidden="false" customHeight="false" outlineLevel="0" collapsed="false">
      <c r="A187" s="11" t="n">
        <v>186</v>
      </c>
      <c r="B187" s="11" t="s">
        <v>3</v>
      </c>
      <c r="C187" s="11" t="s">
        <v>1337</v>
      </c>
      <c r="D187" s="11" t="s">
        <v>1338</v>
      </c>
      <c r="E187" s="20" t="s">
        <v>648</v>
      </c>
      <c r="F187" s="11" t="s">
        <v>700</v>
      </c>
      <c r="G187" s="11" t="s">
        <v>279</v>
      </c>
      <c r="H187" s="11" t="s">
        <v>214</v>
      </c>
      <c r="I187" s="11" t="s">
        <v>279</v>
      </c>
      <c r="J187" s="11" t="s">
        <v>143</v>
      </c>
      <c r="K187" s="13" t="n">
        <v>0</v>
      </c>
      <c r="L187" s="13" t="n">
        <v>390</v>
      </c>
      <c r="M187" s="13" t="n">
        <f aca="false">K187+L187</f>
        <v>390</v>
      </c>
      <c r="N187" s="19" t="n">
        <v>13</v>
      </c>
      <c r="O187" s="19" t="n">
        <f aca="false">IF(N187&lt;=35,1,0.25)*M187/(N187+10)*IF(ISNUMBER(SEARCH("KD mismatch",U187)),0.25,1)</f>
        <v>16.9565217391304</v>
      </c>
      <c r="P187" s="20" t="str">
        <f aca="false">IF(N187&lt;=10,"Quick win",IF(N187&lt;=20,"Strong",IF(N187&lt;=35,"Moderate","Stretch")))</f>
        <v>Strong</v>
      </c>
      <c r="Q187" s="12"/>
      <c r="R187" s="12" t="s">
        <v>1339</v>
      </c>
      <c r="S187" s="12" t="s">
        <v>1183</v>
      </c>
      <c r="T187" s="12"/>
      <c r="U187" s="12"/>
      <c r="V187" s="14" t="s">
        <v>203</v>
      </c>
      <c r="W187" s="14"/>
      <c r="X187" s="15"/>
      <c r="Y187" s="14"/>
      <c r="Z187" s="24"/>
    </row>
    <row r="188" customFormat="false" ht="23.85" hidden="false" customHeight="false" outlineLevel="0" collapsed="false">
      <c r="A188" s="11" t="n">
        <v>187</v>
      </c>
      <c r="B188" s="11" t="s">
        <v>3</v>
      </c>
      <c r="C188" s="11" t="s">
        <v>1340</v>
      </c>
      <c r="D188" s="11" t="s">
        <v>1341</v>
      </c>
      <c r="E188" s="20" t="s">
        <v>627</v>
      </c>
      <c r="F188" s="11" t="s">
        <v>642</v>
      </c>
      <c r="G188" s="11" t="s">
        <v>370</v>
      </c>
      <c r="H188" s="11" t="s">
        <v>334</v>
      </c>
      <c r="I188" s="11" t="s">
        <v>370</v>
      </c>
      <c r="J188" s="11" t="s">
        <v>56</v>
      </c>
      <c r="K188" s="13" t="n">
        <v>390</v>
      </c>
      <c r="L188" s="13" t="n">
        <v>0</v>
      </c>
      <c r="M188" s="13" t="n">
        <f aca="false">K188+L188</f>
        <v>390</v>
      </c>
      <c r="N188" s="19" t="n">
        <v>13</v>
      </c>
      <c r="O188" s="19" t="n">
        <f aca="false">IF(N188&lt;=35,1,0.25)*M188/(N188+10)*IF(ISNUMBER(SEARCH("KD mismatch",U188)),0.25,1)</f>
        <v>16.9565217391304</v>
      </c>
      <c r="P188" s="20" t="str">
        <f aca="false">IF(N188&lt;=10,"Quick win",IF(N188&lt;=20,"Strong",IF(N188&lt;=35,"Moderate","Stretch")))</f>
        <v>Strong</v>
      </c>
      <c r="Q188" s="12"/>
      <c r="R188" s="12"/>
      <c r="S188" s="12" t="s">
        <v>1342</v>
      </c>
      <c r="T188" s="12"/>
      <c r="U188" s="12"/>
      <c r="V188" s="14" t="s">
        <v>203</v>
      </c>
      <c r="W188" s="14"/>
      <c r="X188" s="15"/>
      <c r="Y188" s="14"/>
      <c r="Z188" s="24"/>
    </row>
    <row r="189" customFormat="false" ht="23.85" hidden="false" customHeight="false" outlineLevel="0" collapsed="false">
      <c r="A189" s="11" t="n">
        <v>188</v>
      </c>
      <c r="B189" s="11" t="s">
        <v>3</v>
      </c>
      <c r="C189" s="11" t="s">
        <v>1343</v>
      </c>
      <c r="D189" s="11" t="s">
        <v>1344</v>
      </c>
      <c r="E189" s="20" t="s">
        <v>648</v>
      </c>
      <c r="F189" s="11" t="s">
        <v>649</v>
      </c>
      <c r="G189" s="11" t="s">
        <v>227</v>
      </c>
      <c r="H189" s="11" t="s">
        <v>228</v>
      </c>
      <c r="I189" s="11" t="s">
        <v>227</v>
      </c>
      <c r="J189" s="11" t="s">
        <v>71</v>
      </c>
      <c r="K189" s="13" t="n">
        <v>50</v>
      </c>
      <c r="L189" s="13" t="n">
        <v>490</v>
      </c>
      <c r="M189" s="13" t="n">
        <f aca="false">K189+L189</f>
        <v>540</v>
      </c>
      <c r="N189" s="19" t="n">
        <v>21.9</v>
      </c>
      <c r="O189" s="19" t="n">
        <f aca="false">IF(N189&lt;=35,1,0.25)*M189/(N189+10)*IF(ISNUMBER(SEARCH("KD mismatch",U189)),0.25,1)</f>
        <v>16.9278996865204</v>
      </c>
      <c r="P189" s="20" t="str">
        <f aca="false">IF(N189&lt;=10,"Quick win",IF(N189&lt;=20,"Strong",IF(N189&lt;=35,"Moderate","Stretch")))</f>
        <v>Moderate</v>
      </c>
      <c r="Q189" s="12" t="s">
        <v>1345</v>
      </c>
      <c r="R189" s="12" t="s">
        <v>1346</v>
      </c>
      <c r="S189" s="12" t="s">
        <v>745</v>
      </c>
      <c r="T189" s="12"/>
      <c r="U189" s="12"/>
      <c r="V189" s="14" t="s">
        <v>203</v>
      </c>
      <c r="W189" s="14"/>
      <c r="X189" s="15"/>
      <c r="Y189" s="14"/>
      <c r="Z189" s="24"/>
    </row>
    <row r="190" customFormat="false" ht="23.85" hidden="false" customHeight="false" outlineLevel="0" collapsed="false">
      <c r="A190" s="11" t="n">
        <v>189</v>
      </c>
      <c r="B190" s="11" t="s">
        <v>3</v>
      </c>
      <c r="C190" s="11" t="s">
        <v>1347</v>
      </c>
      <c r="D190" s="11" t="s">
        <v>1348</v>
      </c>
      <c r="E190" s="20" t="s">
        <v>648</v>
      </c>
      <c r="F190" s="11" t="s">
        <v>784</v>
      </c>
      <c r="G190" s="11" t="s">
        <v>263</v>
      </c>
      <c r="H190" s="11" t="s">
        <v>204</v>
      </c>
      <c r="I190" s="11" t="s">
        <v>263</v>
      </c>
      <c r="J190" s="11" t="s">
        <v>143</v>
      </c>
      <c r="K190" s="13" t="n">
        <v>320</v>
      </c>
      <c r="L190" s="13" t="n">
        <v>0</v>
      </c>
      <c r="M190" s="13" t="n">
        <f aca="false">K190+L190</f>
        <v>320</v>
      </c>
      <c r="N190" s="19" t="n">
        <v>9</v>
      </c>
      <c r="O190" s="19" t="n">
        <f aca="false">IF(N190&lt;=35,1,0.25)*M190/(N190+10)*IF(ISNUMBER(SEARCH("KD mismatch",U190)),0.25,1)</f>
        <v>16.8421052631579</v>
      </c>
      <c r="P190" s="20" t="str">
        <f aca="false">IF(N190&lt;=10,"Quick win",IF(N190&lt;=20,"Strong",IF(N190&lt;=35,"Moderate","Stretch")))</f>
        <v>Quick win</v>
      </c>
      <c r="Q190" s="12"/>
      <c r="R190" s="12"/>
      <c r="S190" s="12" t="s">
        <v>1349</v>
      </c>
      <c r="T190" s="12" t="s">
        <v>680</v>
      </c>
      <c r="U190" s="12"/>
      <c r="V190" s="14" t="s">
        <v>203</v>
      </c>
      <c r="W190" s="14"/>
      <c r="X190" s="15"/>
      <c r="Y190" s="14"/>
      <c r="Z190" s="24"/>
    </row>
    <row r="191" customFormat="false" ht="23.85" hidden="false" customHeight="false" outlineLevel="0" collapsed="false">
      <c r="A191" s="11" t="n">
        <v>190</v>
      </c>
      <c r="B191" s="11" t="s">
        <v>3</v>
      </c>
      <c r="C191" s="11" t="s">
        <v>1350</v>
      </c>
      <c r="D191" s="11" t="s">
        <v>1351</v>
      </c>
      <c r="E191" s="20" t="s">
        <v>648</v>
      </c>
      <c r="F191" s="11" t="s">
        <v>649</v>
      </c>
      <c r="G191" s="11" t="s">
        <v>1114</v>
      </c>
      <c r="H191" s="11" t="s">
        <v>1115</v>
      </c>
      <c r="I191" s="11" t="s">
        <v>246</v>
      </c>
      <c r="J191" s="11" t="s">
        <v>71</v>
      </c>
      <c r="K191" s="13" t="n">
        <v>320</v>
      </c>
      <c r="L191" s="13" t="n">
        <v>0</v>
      </c>
      <c r="M191" s="13" t="n">
        <f aca="false">K191+L191</f>
        <v>320</v>
      </c>
      <c r="N191" s="19" t="n">
        <v>9</v>
      </c>
      <c r="O191" s="19" t="n">
        <f aca="false">IF(N191&lt;=35,1,0.25)*M191/(N191+10)*IF(ISNUMBER(SEARCH("KD mismatch",U191)),0.25,1)</f>
        <v>16.8421052631579</v>
      </c>
      <c r="P191" s="20" t="str">
        <f aca="false">IF(N191&lt;=10,"Quick win",IF(N191&lt;=20,"Strong",IF(N191&lt;=35,"Moderate","Stretch")))</f>
        <v>Quick win</v>
      </c>
      <c r="Q191" s="12"/>
      <c r="R191" s="12"/>
      <c r="S191" s="12" t="s">
        <v>1352</v>
      </c>
      <c r="T191" s="12"/>
      <c r="U191" s="12"/>
      <c r="V191" s="14" t="s">
        <v>203</v>
      </c>
      <c r="W191" s="14"/>
      <c r="X191" s="15"/>
      <c r="Y191" s="14"/>
      <c r="Z191" s="24"/>
    </row>
    <row r="192" customFormat="false" ht="23.85" hidden="false" customHeight="false" outlineLevel="0" collapsed="false">
      <c r="A192" s="11" t="n">
        <v>191</v>
      </c>
      <c r="B192" s="11" t="s">
        <v>3</v>
      </c>
      <c r="C192" s="11" t="s">
        <v>1353</v>
      </c>
      <c r="D192" s="11" t="s">
        <v>1354</v>
      </c>
      <c r="E192" s="20" t="s">
        <v>648</v>
      </c>
      <c r="F192" s="11" t="s">
        <v>796</v>
      </c>
      <c r="G192" s="11" t="s">
        <v>89</v>
      </c>
      <c r="H192" s="11" t="s">
        <v>224</v>
      </c>
      <c r="I192" s="11" t="s">
        <v>89</v>
      </c>
      <c r="J192" s="11" t="s">
        <v>71</v>
      </c>
      <c r="K192" s="13" t="n">
        <v>210</v>
      </c>
      <c r="L192" s="13" t="n">
        <v>110</v>
      </c>
      <c r="M192" s="13" t="n">
        <f aca="false">K192+L192</f>
        <v>320</v>
      </c>
      <c r="N192" s="19" t="n">
        <v>9</v>
      </c>
      <c r="O192" s="19" t="n">
        <f aca="false">IF(N192&lt;=35,1,0.25)*M192/(N192+10)*IF(ISNUMBER(SEARCH("KD mismatch",U192)),0.25,1)</f>
        <v>16.8421052631579</v>
      </c>
      <c r="P192" s="20" t="str">
        <f aca="false">IF(N192&lt;=10,"Quick win",IF(N192&lt;=20,"Strong",IF(N192&lt;=35,"Moderate","Stretch")))</f>
        <v>Quick win</v>
      </c>
      <c r="Q192" s="12"/>
      <c r="R192" s="12"/>
      <c r="S192" s="12" t="s">
        <v>1336</v>
      </c>
      <c r="T192" s="12"/>
      <c r="U192" s="12"/>
      <c r="V192" s="14" t="s">
        <v>203</v>
      </c>
      <c r="W192" s="14"/>
      <c r="X192" s="15"/>
      <c r="Y192" s="14"/>
      <c r="Z192" s="24"/>
    </row>
    <row r="193" customFormat="false" ht="23.85" hidden="false" customHeight="false" outlineLevel="0" collapsed="false">
      <c r="A193" s="11" t="n">
        <v>192</v>
      </c>
      <c r="B193" s="11" t="s">
        <v>3</v>
      </c>
      <c r="C193" s="11" t="s">
        <v>1355</v>
      </c>
      <c r="D193" s="11" t="s">
        <v>1356</v>
      </c>
      <c r="E193" s="20" t="s">
        <v>648</v>
      </c>
      <c r="F193" s="11" t="s">
        <v>700</v>
      </c>
      <c r="G193" s="11" t="s">
        <v>263</v>
      </c>
      <c r="H193" s="11" t="s">
        <v>204</v>
      </c>
      <c r="I193" s="11" t="s">
        <v>263</v>
      </c>
      <c r="J193" s="11" t="s">
        <v>143</v>
      </c>
      <c r="K193" s="13" t="n">
        <v>210</v>
      </c>
      <c r="L193" s="13" t="n">
        <v>40</v>
      </c>
      <c r="M193" s="13" t="n">
        <f aca="false">K193+L193</f>
        <v>250</v>
      </c>
      <c r="N193" s="19" t="n">
        <v>5</v>
      </c>
      <c r="O193" s="19" t="n">
        <f aca="false">IF(N193&lt;=35,1,0.25)*M193/(N193+10)*IF(ISNUMBER(SEARCH("KD mismatch",U193)),0.25,1)</f>
        <v>16.6666666666667</v>
      </c>
      <c r="P193" s="20" t="str">
        <f aca="false">IF(N193&lt;=10,"Quick win",IF(N193&lt;=20,"Strong",IF(N193&lt;=35,"Moderate","Stretch")))</f>
        <v>Quick win</v>
      </c>
      <c r="Q193" s="12"/>
      <c r="R193" s="12"/>
      <c r="S193" s="12" t="s">
        <v>1357</v>
      </c>
      <c r="T193" s="12" t="s">
        <v>680</v>
      </c>
      <c r="U193" s="12"/>
      <c r="V193" s="14" t="s">
        <v>203</v>
      </c>
      <c r="W193" s="14"/>
      <c r="X193" s="15"/>
      <c r="Y193" s="14"/>
      <c r="Z193" s="24"/>
    </row>
    <row r="194" customFormat="false" ht="23.85" hidden="false" customHeight="false" outlineLevel="0" collapsed="false">
      <c r="A194" s="11" t="n">
        <v>193</v>
      </c>
      <c r="B194" s="11" t="s">
        <v>3</v>
      </c>
      <c r="C194" s="11" t="s">
        <v>1358</v>
      </c>
      <c r="D194" s="11" t="s">
        <v>1359</v>
      </c>
      <c r="E194" s="20" t="s">
        <v>648</v>
      </c>
      <c r="F194" s="11" t="s">
        <v>692</v>
      </c>
      <c r="G194" s="11" t="s">
        <v>263</v>
      </c>
      <c r="H194" s="11" t="s">
        <v>204</v>
      </c>
      <c r="I194" s="11" t="s">
        <v>263</v>
      </c>
      <c r="J194" s="11" t="s">
        <v>71</v>
      </c>
      <c r="K194" s="13" t="n">
        <v>140</v>
      </c>
      <c r="L194" s="13" t="n">
        <v>110</v>
      </c>
      <c r="M194" s="13" t="n">
        <f aca="false">K194+L194</f>
        <v>250</v>
      </c>
      <c r="N194" s="19" t="n">
        <v>5</v>
      </c>
      <c r="O194" s="19" t="n">
        <f aca="false">IF(N194&lt;=35,1,0.25)*M194/(N194+10)*IF(ISNUMBER(SEARCH("KD mismatch",U194)),0.25,1)</f>
        <v>16.6666666666667</v>
      </c>
      <c r="P194" s="20" t="str">
        <f aca="false">IF(N194&lt;=10,"Quick win",IF(N194&lt;=20,"Strong",IF(N194&lt;=35,"Moderate","Stretch")))</f>
        <v>Quick win</v>
      </c>
      <c r="Q194" s="12"/>
      <c r="R194" s="12"/>
      <c r="S194" s="12" t="s">
        <v>1206</v>
      </c>
      <c r="T194" s="12" t="s">
        <v>680</v>
      </c>
      <c r="U194" s="12"/>
      <c r="V194" s="14" t="s">
        <v>203</v>
      </c>
      <c r="W194" s="14"/>
      <c r="X194" s="15"/>
      <c r="Y194" s="14"/>
      <c r="Z194" s="24"/>
    </row>
    <row r="195" customFormat="false" ht="23.85" hidden="false" customHeight="false" outlineLevel="0" collapsed="false">
      <c r="A195" s="11" t="n">
        <v>194</v>
      </c>
      <c r="B195" s="11" t="s">
        <v>3</v>
      </c>
      <c r="C195" s="11" t="s">
        <v>1360</v>
      </c>
      <c r="D195" s="11" t="s">
        <v>1361</v>
      </c>
      <c r="E195" s="20" t="s">
        <v>648</v>
      </c>
      <c r="F195" s="11" t="s">
        <v>649</v>
      </c>
      <c r="G195" s="11" t="s">
        <v>364</v>
      </c>
      <c r="H195" s="11" t="s">
        <v>314</v>
      </c>
      <c r="I195" s="11" t="s">
        <v>364</v>
      </c>
      <c r="J195" s="11" t="s">
        <v>71</v>
      </c>
      <c r="K195" s="13" t="n">
        <v>220</v>
      </c>
      <c r="L195" s="13" t="n">
        <v>70</v>
      </c>
      <c r="M195" s="13" t="n">
        <f aca="false">K195+L195</f>
        <v>290</v>
      </c>
      <c r="N195" s="19" t="n">
        <v>8</v>
      </c>
      <c r="O195" s="19" t="n">
        <f aca="false">IF(N195&lt;=35,1,0.25)*M195/(N195+10)*IF(ISNUMBER(SEARCH("KD mismatch",U195)),0.25,1)</f>
        <v>16.1111111111111</v>
      </c>
      <c r="P195" s="20" t="str">
        <f aca="false">IF(N195&lt;=10,"Quick win",IF(N195&lt;=20,"Strong",IF(N195&lt;=35,"Moderate","Stretch")))</f>
        <v>Quick win</v>
      </c>
      <c r="Q195" s="12" t="s">
        <v>1362</v>
      </c>
      <c r="R195" s="12"/>
      <c r="S195" s="12" t="s">
        <v>1363</v>
      </c>
      <c r="T195" s="12"/>
      <c r="U195" s="12"/>
      <c r="V195" s="14" t="s">
        <v>203</v>
      </c>
      <c r="W195" s="14"/>
      <c r="X195" s="15"/>
      <c r="Y195" s="14"/>
      <c r="Z195" s="24"/>
    </row>
    <row r="196" customFormat="false" ht="23.85" hidden="false" customHeight="false" outlineLevel="0" collapsed="false">
      <c r="A196" s="11" t="n">
        <v>195</v>
      </c>
      <c r="B196" s="11" t="s">
        <v>3</v>
      </c>
      <c r="C196" s="11" t="s">
        <v>1364</v>
      </c>
      <c r="D196" s="11" t="s">
        <v>1365</v>
      </c>
      <c r="E196" s="20" t="s">
        <v>648</v>
      </c>
      <c r="F196" s="11" t="s">
        <v>1308</v>
      </c>
      <c r="G196" s="11" t="s">
        <v>80</v>
      </c>
      <c r="H196" s="11" t="s">
        <v>247</v>
      </c>
      <c r="I196" s="11" t="s">
        <v>80</v>
      </c>
      <c r="J196" s="11" t="s">
        <v>71</v>
      </c>
      <c r="K196" s="13" t="n">
        <v>210</v>
      </c>
      <c r="L196" s="13" t="n">
        <v>30</v>
      </c>
      <c r="M196" s="13" t="n">
        <f aca="false">K196+L196</f>
        <v>240</v>
      </c>
      <c r="N196" s="19" t="n">
        <v>4.9</v>
      </c>
      <c r="O196" s="19" t="n">
        <f aca="false">IF(N196&lt;=35,1,0.25)*M196/(N196+10)*IF(ISNUMBER(SEARCH("KD mismatch",U196)),0.25,1)</f>
        <v>16.1073825503356</v>
      </c>
      <c r="P196" s="20" t="str">
        <f aca="false">IF(N196&lt;=10,"Quick win",IF(N196&lt;=20,"Strong",IF(N196&lt;=35,"Moderate","Stretch")))</f>
        <v>Quick win</v>
      </c>
      <c r="Q196" s="12"/>
      <c r="R196" s="12"/>
      <c r="S196" s="12" t="s">
        <v>1366</v>
      </c>
      <c r="T196" s="12" t="s">
        <v>657</v>
      </c>
      <c r="U196" s="12"/>
      <c r="V196" s="14" t="s">
        <v>203</v>
      </c>
      <c r="W196" s="14"/>
      <c r="X196" s="15"/>
      <c r="Y196" s="14"/>
      <c r="Z196" s="24"/>
    </row>
    <row r="197" customFormat="false" ht="23.85" hidden="false" customHeight="false" outlineLevel="0" collapsed="false">
      <c r="A197" s="11" t="n">
        <v>196</v>
      </c>
      <c r="B197" s="11" t="s">
        <v>3</v>
      </c>
      <c r="C197" s="11" t="s">
        <v>1367</v>
      </c>
      <c r="D197" s="11" t="s">
        <v>1368</v>
      </c>
      <c r="E197" s="20" t="s">
        <v>648</v>
      </c>
      <c r="F197" s="11" t="s">
        <v>649</v>
      </c>
      <c r="G197" s="11" t="s">
        <v>1369</v>
      </c>
      <c r="H197" s="11" t="s">
        <v>214</v>
      </c>
      <c r="I197" s="11" t="s">
        <v>214</v>
      </c>
      <c r="J197" s="11" t="s">
        <v>71</v>
      </c>
      <c r="K197" s="13" t="n">
        <v>480</v>
      </c>
      <c r="L197" s="13" t="n">
        <v>0</v>
      </c>
      <c r="M197" s="13" t="n">
        <f aca="false">K197+L197</f>
        <v>480</v>
      </c>
      <c r="N197" s="19" t="n">
        <v>20</v>
      </c>
      <c r="O197" s="19" t="n">
        <f aca="false">IF(N197&lt;=35,1,0.25)*M197/(N197+10)*IF(ISNUMBER(SEARCH("KD mismatch",U197)),0.25,1)</f>
        <v>16</v>
      </c>
      <c r="P197" s="20" t="str">
        <f aca="false">IF(N197&lt;=10,"Quick win",IF(N197&lt;=20,"Strong",IF(N197&lt;=35,"Moderate","Stretch")))</f>
        <v>Strong</v>
      </c>
      <c r="Q197" s="12"/>
      <c r="R197" s="12"/>
      <c r="S197" s="12" t="s">
        <v>1225</v>
      </c>
      <c r="T197" s="12"/>
      <c r="U197" s="12"/>
      <c r="V197" s="14" t="s">
        <v>203</v>
      </c>
      <c r="W197" s="14"/>
      <c r="X197" s="15"/>
      <c r="Y197" s="14"/>
      <c r="Z197" s="24"/>
    </row>
    <row r="198" customFormat="false" ht="23.85" hidden="false" customHeight="false" outlineLevel="0" collapsed="false">
      <c r="A198" s="11" t="n">
        <v>197</v>
      </c>
      <c r="B198" s="11" t="s">
        <v>3</v>
      </c>
      <c r="C198" s="11" t="s">
        <v>1370</v>
      </c>
      <c r="D198" s="11" t="s">
        <v>1371</v>
      </c>
      <c r="E198" s="20" t="s">
        <v>627</v>
      </c>
      <c r="F198" s="11" t="s">
        <v>738</v>
      </c>
      <c r="G198" s="11" t="s">
        <v>1372</v>
      </c>
      <c r="H198" s="11" t="s">
        <v>1372</v>
      </c>
      <c r="I198" s="11" t="s">
        <v>246</v>
      </c>
      <c r="J198" s="11" t="s">
        <v>183</v>
      </c>
      <c r="K198" s="13" t="n">
        <v>590</v>
      </c>
      <c r="L198" s="13" t="n">
        <v>0</v>
      </c>
      <c r="M198" s="13" t="n">
        <f aca="false">K198+L198</f>
        <v>590</v>
      </c>
      <c r="N198" s="19" t="n">
        <v>27</v>
      </c>
      <c r="O198" s="19" t="n">
        <f aca="false">IF(N198&lt;=35,1,0.25)*M198/(N198+10)*IF(ISNUMBER(SEARCH("KD mismatch",U198)),0.25,1)</f>
        <v>15.9459459459459</v>
      </c>
      <c r="P198" s="20" t="str">
        <f aca="false">IF(N198&lt;=10,"Quick win",IF(N198&lt;=20,"Strong",IF(N198&lt;=35,"Moderate","Stretch")))</f>
        <v>Moderate</v>
      </c>
      <c r="Q198" s="12"/>
      <c r="R198" s="12"/>
      <c r="S198" s="12" t="s">
        <v>1373</v>
      </c>
      <c r="T198" s="12"/>
      <c r="U198" s="12" t="s">
        <v>667</v>
      </c>
      <c r="V198" s="14" t="s">
        <v>203</v>
      </c>
      <c r="W198" s="14"/>
      <c r="X198" s="15"/>
      <c r="Y198" s="14"/>
      <c r="Z198" s="24"/>
    </row>
    <row r="199" customFormat="false" ht="23.85" hidden="false" customHeight="false" outlineLevel="0" collapsed="false">
      <c r="A199" s="11" t="n">
        <v>198</v>
      </c>
      <c r="B199" s="11" t="s">
        <v>3</v>
      </c>
      <c r="C199" s="11" t="s">
        <v>1374</v>
      </c>
      <c r="D199" s="11" t="s">
        <v>1375</v>
      </c>
      <c r="E199" s="20" t="s">
        <v>648</v>
      </c>
      <c r="F199" s="11" t="s">
        <v>700</v>
      </c>
      <c r="G199" s="11" t="s">
        <v>392</v>
      </c>
      <c r="H199" s="11" t="s">
        <v>214</v>
      </c>
      <c r="I199" s="11" t="s">
        <v>392</v>
      </c>
      <c r="J199" s="11" t="s">
        <v>143</v>
      </c>
      <c r="K199" s="13" t="n">
        <v>150</v>
      </c>
      <c r="L199" s="13" t="n">
        <v>160</v>
      </c>
      <c r="M199" s="13" t="n">
        <f aca="false">K199+L199</f>
        <v>310</v>
      </c>
      <c r="N199" s="19" t="n">
        <v>9.5</v>
      </c>
      <c r="O199" s="19" t="n">
        <f aca="false">IF(N199&lt;=35,1,0.25)*M199/(N199+10)*IF(ISNUMBER(SEARCH("KD mismatch",U199)),0.25,1)</f>
        <v>15.8974358974359</v>
      </c>
      <c r="P199" s="20" t="str">
        <f aca="false">IF(N199&lt;=10,"Quick win",IF(N199&lt;=20,"Strong",IF(N199&lt;=35,"Moderate","Stretch")))</f>
        <v>Quick win</v>
      </c>
      <c r="Q199" s="12" t="s">
        <v>1376</v>
      </c>
      <c r="R199" s="12"/>
      <c r="S199" s="12" t="s">
        <v>1377</v>
      </c>
      <c r="T199" s="12"/>
      <c r="U199" s="12"/>
      <c r="V199" s="14" t="s">
        <v>203</v>
      </c>
      <c r="W199" s="14"/>
      <c r="X199" s="15"/>
      <c r="Y199" s="14"/>
      <c r="Z199" s="24"/>
    </row>
    <row r="200" customFormat="false" ht="23.85" hidden="false" customHeight="false" outlineLevel="0" collapsed="false">
      <c r="A200" s="11" t="n">
        <v>199</v>
      </c>
      <c r="B200" s="11" t="s">
        <v>3</v>
      </c>
      <c r="C200" s="11" t="s">
        <v>1378</v>
      </c>
      <c r="D200" s="11" t="s">
        <v>1379</v>
      </c>
      <c r="E200" s="20" t="s">
        <v>648</v>
      </c>
      <c r="F200" s="11" t="s">
        <v>649</v>
      </c>
      <c r="G200" s="11" t="s">
        <v>115</v>
      </c>
      <c r="H200" s="11" t="s">
        <v>706</v>
      </c>
      <c r="I200" s="11" t="s">
        <v>115</v>
      </c>
      <c r="J200" s="11" t="s">
        <v>71</v>
      </c>
      <c r="K200" s="13" t="n">
        <v>340</v>
      </c>
      <c r="L200" s="13" t="n">
        <v>0</v>
      </c>
      <c r="M200" s="13" t="n">
        <f aca="false">K200+L200</f>
        <v>340</v>
      </c>
      <c r="N200" s="19" t="n">
        <v>11.5</v>
      </c>
      <c r="O200" s="19" t="n">
        <f aca="false">IF(N200&lt;=35,1,0.25)*M200/(N200+10)*IF(ISNUMBER(SEARCH("KD mismatch",U200)),0.25,1)</f>
        <v>15.8139534883721</v>
      </c>
      <c r="P200" s="20" t="str">
        <f aca="false">IF(N200&lt;=10,"Quick win",IF(N200&lt;=20,"Strong",IF(N200&lt;=35,"Moderate","Stretch")))</f>
        <v>Strong</v>
      </c>
      <c r="Q200" s="12" t="s">
        <v>1380</v>
      </c>
      <c r="R200" s="12"/>
      <c r="S200" s="12" t="s">
        <v>1381</v>
      </c>
      <c r="T200" s="12" t="s">
        <v>709</v>
      </c>
      <c r="U200" s="12"/>
      <c r="V200" s="14" t="s">
        <v>203</v>
      </c>
      <c r="W200" s="14"/>
      <c r="X200" s="15"/>
      <c r="Y200" s="14"/>
      <c r="Z200" s="24"/>
    </row>
    <row r="201" customFormat="false" ht="23.85" hidden="false" customHeight="false" outlineLevel="0" collapsed="false">
      <c r="A201" s="11" t="n">
        <v>200</v>
      </c>
      <c r="B201" s="11" t="s">
        <v>3</v>
      </c>
      <c r="C201" s="11" t="s">
        <v>1382</v>
      </c>
      <c r="D201" s="11" t="s">
        <v>1383</v>
      </c>
      <c r="E201" s="20" t="s">
        <v>627</v>
      </c>
      <c r="F201" s="11" t="s">
        <v>859</v>
      </c>
      <c r="G201" s="11" t="s">
        <v>205</v>
      </c>
      <c r="H201" s="11" t="s">
        <v>205</v>
      </c>
      <c r="I201" s="11" t="s">
        <v>205</v>
      </c>
      <c r="J201" s="11" t="s">
        <v>183</v>
      </c>
      <c r="K201" s="13" t="n">
        <v>260</v>
      </c>
      <c r="L201" s="13" t="n">
        <v>170</v>
      </c>
      <c r="M201" s="13" t="n">
        <f aca="false">K201+L201</f>
        <v>430</v>
      </c>
      <c r="N201" s="19" t="n">
        <v>18</v>
      </c>
      <c r="O201" s="19" t="n">
        <f aca="false">IF(N201&lt;=35,1,0.25)*M201/(N201+10)*IF(ISNUMBER(SEARCH("KD mismatch",U201)),0.25,1)</f>
        <v>15.3571428571429</v>
      </c>
      <c r="P201" s="20" t="str">
        <f aca="false">IF(N201&lt;=10,"Quick win",IF(N201&lt;=20,"Strong",IF(N201&lt;=35,"Moderate","Stretch")))</f>
        <v>Strong</v>
      </c>
      <c r="Q201" s="12"/>
      <c r="R201" s="12"/>
      <c r="S201" s="12" t="s">
        <v>1384</v>
      </c>
      <c r="T201" s="12"/>
      <c r="U201" s="12"/>
      <c r="V201" s="14" t="s">
        <v>203</v>
      </c>
      <c r="W201" s="14"/>
      <c r="X201" s="15"/>
      <c r="Y201" s="14"/>
      <c r="Z201" s="24"/>
    </row>
    <row r="202" customFormat="false" ht="23.85" hidden="false" customHeight="false" outlineLevel="0" collapsed="false">
      <c r="A202" s="11" t="n">
        <v>201</v>
      </c>
      <c r="B202" s="11" t="s">
        <v>4</v>
      </c>
      <c r="C202" s="11" t="s">
        <v>1385</v>
      </c>
      <c r="D202" s="11" t="s">
        <v>1386</v>
      </c>
      <c r="E202" s="20" t="s">
        <v>648</v>
      </c>
      <c r="F202" s="11" t="s">
        <v>1387</v>
      </c>
      <c r="G202" s="11" t="s">
        <v>256</v>
      </c>
      <c r="H202" s="11" t="s">
        <v>257</v>
      </c>
      <c r="I202" s="11" t="s">
        <v>256</v>
      </c>
      <c r="J202" s="11" t="s">
        <v>71</v>
      </c>
      <c r="K202" s="13" t="n">
        <v>260</v>
      </c>
      <c r="L202" s="13" t="n">
        <v>0</v>
      </c>
      <c r="M202" s="13" t="n">
        <f aca="false">K202+L202</f>
        <v>260</v>
      </c>
      <c r="N202" s="19" t="n">
        <v>7</v>
      </c>
      <c r="O202" s="19" t="n">
        <f aca="false">IF(N202&lt;=35,1,0.25)*M202/(N202+10)*IF(ISNUMBER(SEARCH("KD mismatch",U202)),0.25,1)</f>
        <v>15.2941176470588</v>
      </c>
      <c r="P202" s="20" t="str">
        <f aca="false">IF(N202&lt;=10,"Quick win",IF(N202&lt;=20,"Strong",IF(N202&lt;=35,"Moderate","Stretch")))</f>
        <v>Quick win</v>
      </c>
      <c r="Q202" s="12"/>
      <c r="R202" s="12"/>
      <c r="S202" s="12" t="s">
        <v>812</v>
      </c>
      <c r="T202" s="12"/>
      <c r="U202" s="12"/>
      <c r="V202" s="14" t="s">
        <v>203</v>
      </c>
      <c r="W202" s="14"/>
      <c r="X202" s="15"/>
      <c r="Y202" s="14"/>
      <c r="Z202" s="24"/>
    </row>
    <row r="203" customFormat="false" ht="23.85" hidden="false" customHeight="false" outlineLevel="0" collapsed="false">
      <c r="A203" s="11" t="n">
        <v>202</v>
      </c>
      <c r="B203" s="11" t="s">
        <v>4</v>
      </c>
      <c r="C203" s="11" t="s">
        <v>1388</v>
      </c>
      <c r="D203" s="11" t="s">
        <v>1389</v>
      </c>
      <c r="E203" s="20" t="s">
        <v>627</v>
      </c>
      <c r="F203" s="11" t="s">
        <v>642</v>
      </c>
      <c r="G203" s="11" t="s">
        <v>1390</v>
      </c>
      <c r="H203" s="11" t="s">
        <v>337</v>
      </c>
      <c r="I203" s="11" t="s">
        <v>337</v>
      </c>
      <c r="J203" s="11" t="s">
        <v>56</v>
      </c>
      <c r="K203" s="13" t="n">
        <v>260</v>
      </c>
      <c r="L203" s="13" t="n">
        <v>0</v>
      </c>
      <c r="M203" s="13" t="n">
        <f aca="false">K203+L203</f>
        <v>260</v>
      </c>
      <c r="N203" s="19" t="n">
        <v>7</v>
      </c>
      <c r="O203" s="19" t="n">
        <f aca="false">IF(N203&lt;=35,1,0.25)*M203/(N203+10)*IF(ISNUMBER(SEARCH("KD mismatch",U203)),0.25,1)</f>
        <v>15.2941176470588</v>
      </c>
      <c r="P203" s="20" t="str">
        <f aca="false">IF(N203&lt;=10,"Quick win",IF(N203&lt;=20,"Strong",IF(N203&lt;=35,"Moderate","Stretch")))</f>
        <v>Quick win</v>
      </c>
      <c r="Q203" s="12"/>
      <c r="R203" s="12"/>
      <c r="S203" s="12" t="s">
        <v>1391</v>
      </c>
      <c r="T203" s="12"/>
      <c r="U203" s="12"/>
      <c r="V203" s="14" t="s">
        <v>203</v>
      </c>
      <c r="W203" s="14"/>
      <c r="X203" s="15"/>
      <c r="Y203" s="14"/>
      <c r="Z203" s="24"/>
    </row>
    <row r="204" customFormat="false" ht="23.85" hidden="false" customHeight="false" outlineLevel="0" collapsed="false">
      <c r="A204" s="11" t="n">
        <v>203</v>
      </c>
      <c r="B204" s="11" t="s">
        <v>4</v>
      </c>
      <c r="C204" s="11" t="s">
        <v>1392</v>
      </c>
      <c r="D204" s="11" t="s">
        <v>1393</v>
      </c>
      <c r="E204" s="20" t="s">
        <v>648</v>
      </c>
      <c r="F204" s="11" t="s">
        <v>649</v>
      </c>
      <c r="G204" s="11" t="s">
        <v>1394</v>
      </c>
      <c r="H204" s="11" t="s">
        <v>214</v>
      </c>
      <c r="I204" s="11" t="s">
        <v>214</v>
      </c>
      <c r="J204" s="11" t="s">
        <v>71</v>
      </c>
      <c r="K204" s="13" t="n">
        <v>440</v>
      </c>
      <c r="L204" s="13" t="n">
        <v>0</v>
      </c>
      <c r="M204" s="13" t="n">
        <f aca="false">K204+L204</f>
        <v>440</v>
      </c>
      <c r="N204" s="19" t="n">
        <v>19</v>
      </c>
      <c r="O204" s="19" t="n">
        <f aca="false">IF(N204&lt;=35,1,0.25)*M204/(N204+10)*IF(ISNUMBER(SEARCH("KD mismatch",U204)),0.25,1)</f>
        <v>15.1724137931034</v>
      </c>
      <c r="P204" s="20" t="str">
        <f aca="false">IF(N204&lt;=10,"Quick win",IF(N204&lt;=20,"Strong",IF(N204&lt;=35,"Moderate","Stretch")))</f>
        <v>Strong</v>
      </c>
      <c r="Q204" s="12"/>
      <c r="R204" s="12"/>
      <c r="S204" s="12" t="s">
        <v>1225</v>
      </c>
      <c r="T204" s="12"/>
      <c r="U204" s="12"/>
      <c r="V204" s="14" t="s">
        <v>203</v>
      </c>
      <c r="W204" s="14"/>
      <c r="X204" s="15"/>
      <c r="Y204" s="14"/>
      <c r="Z204" s="24"/>
    </row>
    <row r="205" customFormat="false" ht="23.85" hidden="false" customHeight="false" outlineLevel="0" collapsed="false">
      <c r="A205" s="11" t="n">
        <v>204</v>
      </c>
      <c r="B205" s="11" t="s">
        <v>4</v>
      </c>
      <c r="C205" s="11" t="s">
        <v>1395</v>
      </c>
      <c r="D205" s="11" t="s">
        <v>1396</v>
      </c>
      <c r="E205" s="20" t="s">
        <v>648</v>
      </c>
      <c r="F205" s="11" t="s">
        <v>796</v>
      </c>
      <c r="G205" s="11" t="s">
        <v>305</v>
      </c>
      <c r="H205" s="11" t="s">
        <v>247</v>
      </c>
      <c r="I205" s="11" t="s">
        <v>305</v>
      </c>
      <c r="J205" s="11" t="s">
        <v>71</v>
      </c>
      <c r="K205" s="13" t="n">
        <v>210</v>
      </c>
      <c r="L205" s="13" t="n">
        <v>20</v>
      </c>
      <c r="M205" s="13" t="n">
        <f aca="false">K205+L205</f>
        <v>230</v>
      </c>
      <c r="N205" s="19" t="n">
        <v>5.4</v>
      </c>
      <c r="O205" s="19" t="n">
        <f aca="false">IF(N205&lt;=35,1,0.25)*M205/(N205+10)*IF(ISNUMBER(SEARCH("KD mismatch",U205)),0.25,1)</f>
        <v>14.9350649350649</v>
      </c>
      <c r="P205" s="20" t="str">
        <f aca="false">IF(N205&lt;=10,"Quick win",IF(N205&lt;=20,"Strong",IF(N205&lt;=35,"Moderate","Stretch")))</f>
        <v>Quick win</v>
      </c>
      <c r="Q205" s="12"/>
      <c r="R205" s="12"/>
      <c r="S205" s="12" t="s">
        <v>1397</v>
      </c>
      <c r="T205" s="12"/>
      <c r="U205" s="12"/>
      <c r="V205" s="14" t="s">
        <v>203</v>
      </c>
      <c r="W205" s="14"/>
      <c r="X205" s="15"/>
      <c r="Y205" s="14"/>
      <c r="Z205" s="24"/>
    </row>
    <row r="206" customFormat="false" ht="23.85" hidden="false" customHeight="false" outlineLevel="0" collapsed="false">
      <c r="A206" s="11" t="n">
        <v>205</v>
      </c>
      <c r="B206" s="11" t="s">
        <v>4</v>
      </c>
      <c r="C206" s="11" t="s">
        <v>1398</v>
      </c>
      <c r="D206" s="11" t="s">
        <v>1399</v>
      </c>
      <c r="E206" s="20" t="s">
        <v>648</v>
      </c>
      <c r="F206" s="11" t="s">
        <v>796</v>
      </c>
      <c r="G206" s="11" t="s">
        <v>232</v>
      </c>
      <c r="H206" s="11" t="s">
        <v>232</v>
      </c>
      <c r="I206" s="11" t="s">
        <v>232</v>
      </c>
      <c r="J206" s="11" t="s">
        <v>71</v>
      </c>
      <c r="K206" s="13" t="n">
        <v>210</v>
      </c>
      <c r="L206" s="13" t="n">
        <v>40</v>
      </c>
      <c r="M206" s="13" t="n">
        <f aca="false">K206+L206</f>
        <v>250</v>
      </c>
      <c r="N206" s="19" t="n">
        <v>6.8</v>
      </c>
      <c r="O206" s="19" t="n">
        <f aca="false">IF(N206&lt;=35,1,0.25)*M206/(N206+10)*IF(ISNUMBER(SEARCH("KD mismatch",U206)),0.25,1)</f>
        <v>14.8809523809524</v>
      </c>
      <c r="P206" s="20" t="str">
        <f aca="false">IF(N206&lt;=10,"Quick win",IF(N206&lt;=20,"Strong",IF(N206&lt;=35,"Moderate","Stretch")))</f>
        <v>Quick win</v>
      </c>
      <c r="Q206" s="12"/>
      <c r="R206" s="12"/>
      <c r="S206" s="12" t="s">
        <v>1400</v>
      </c>
      <c r="T206" s="12"/>
      <c r="U206" s="12"/>
      <c r="V206" s="14" t="s">
        <v>203</v>
      </c>
      <c r="W206" s="14"/>
      <c r="X206" s="15"/>
      <c r="Y206" s="14"/>
      <c r="Z206" s="24"/>
    </row>
    <row r="207" customFormat="false" ht="23.85" hidden="false" customHeight="false" outlineLevel="0" collapsed="false">
      <c r="A207" s="11" t="n">
        <v>206</v>
      </c>
      <c r="B207" s="11" t="s">
        <v>4</v>
      </c>
      <c r="C207" s="11" t="s">
        <v>1401</v>
      </c>
      <c r="D207" s="11" t="s">
        <v>1402</v>
      </c>
      <c r="E207" s="20" t="s">
        <v>648</v>
      </c>
      <c r="F207" s="11" t="s">
        <v>649</v>
      </c>
      <c r="G207" s="11" t="s">
        <v>1403</v>
      </c>
      <c r="H207" s="11" t="s">
        <v>214</v>
      </c>
      <c r="I207" s="11" t="s">
        <v>214</v>
      </c>
      <c r="J207" s="11" t="s">
        <v>71</v>
      </c>
      <c r="K207" s="13" t="n">
        <v>370</v>
      </c>
      <c r="L207" s="13" t="n">
        <v>0</v>
      </c>
      <c r="M207" s="13" t="n">
        <f aca="false">K207+L207</f>
        <v>370</v>
      </c>
      <c r="N207" s="19" t="n">
        <v>15</v>
      </c>
      <c r="O207" s="19" t="n">
        <f aca="false">IF(N207&lt;=35,1,0.25)*M207/(N207+10)*IF(ISNUMBER(SEARCH("KD mismatch",U207)),0.25,1)</f>
        <v>14.8</v>
      </c>
      <c r="P207" s="20" t="str">
        <f aca="false">IF(N207&lt;=10,"Quick win",IF(N207&lt;=20,"Strong",IF(N207&lt;=35,"Moderate","Stretch")))</f>
        <v>Strong</v>
      </c>
      <c r="Q207" s="12"/>
      <c r="R207" s="12"/>
      <c r="S207" s="12" t="s">
        <v>1225</v>
      </c>
      <c r="T207" s="12"/>
      <c r="U207" s="12"/>
      <c r="V207" s="14" t="s">
        <v>203</v>
      </c>
      <c r="W207" s="14"/>
      <c r="X207" s="15"/>
      <c r="Y207" s="14"/>
      <c r="Z207" s="24"/>
    </row>
    <row r="208" customFormat="false" ht="23.85" hidden="false" customHeight="false" outlineLevel="0" collapsed="false">
      <c r="A208" s="11" t="n">
        <v>207</v>
      </c>
      <c r="B208" s="11" t="s">
        <v>4</v>
      </c>
      <c r="C208" s="11" t="s">
        <v>1404</v>
      </c>
      <c r="D208" s="11" t="s">
        <v>1405</v>
      </c>
      <c r="E208" s="20" t="s">
        <v>627</v>
      </c>
      <c r="F208" s="11" t="s">
        <v>1199</v>
      </c>
      <c r="G208" s="11" t="s">
        <v>232</v>
      </c>
      <c r="H208" s="11" t="s">
        <v>232</v>
      </c>
      <c r="I208" s="11" t="s">
        <v>232</v>
      </c>
      <c r="J208" s="11" t="s">
        <v>184</v>
      </c>
      <c r="K208" s="13" t="n">
        <v>210</v>
      </c>
      <c r="L208" s="13" t="n">
        <v>20</v>
      </c>
      <c r="M208" s="13" t="n">
        <f aca="false">K208+L208</f>
        <v>230</v>
      </c>
      <c r="N208" s="19" t="n">
        <v>5.7</v>
      </c>
      <c r="O208" s="19" t="n">
        <f aca="false">IF(N208&lt;=35,1,0.25)*M208/(N208+10)*IF(ISNUMBER(SEARCH("KD mismatch",U208)),0.25,1)</f>
        <v>14.6496815286624</v>
      </c>
      <c r="P208" s="20" t="str">
        <f aca="false">IF(N208&lt;=10,"Quick win",IF(N208&lt;=20,"Strong",IF(N208&lt;=35,"Moderate","Stretch")))</f>
        <v>Quick win</v>
      </c>
      <c r="Q208" s="12"/>
      <c r="R208" s="12"/>
      <c r="S208" s="12" t="s">
        <v>1406</v>
      </c>
      <c r="T208" s="12"/>
      <c r="U208" s="12"/>
      <c r="V208" s="14" t="s">
        <v>203</v>
      </c>
      <c r="W208" s="14"/>
      <c r="X208" s="15"/>
      <c r="Y208" s="14"/>
      <c r="Z208" s="24"/>
    </row>
    <row r="209" customFormat="false" ht="23.85" hidden="false" customHeight="false" outlineLevel="0" collapsed="false">
      <c r="A209" s="11" t="n">
        <v>208</v>
      </c>
      <c r="B209" s="11" t="s">
        <v>4</v>
      </c>
      <c r="C209" s="11" t="s">
        <v>1407</v>
      </c>
      <c r="D209" s="11" t="s">
        <v>1408</v>
      </c>
      <c r="E209" s="20" t="s">
        <v>648</v>
      </c>
      <c r="F209" s="11" t="s">
        <v>692</v>
      </c>
      <c r="G209" s="11" t="s">
        <v>276</v>
      </c>
      <c r="H209" s="11" t="s">
        <v>276</v>
      </c>
      <c r="I209" s="11" t="s">
        <v>276</v>
      </c>
      <c r="J209" s="11" t="s">
        <v>71</v>
      </c>
      <c r="K209" s="13" t="n">
        <v>170</v>
      </c>
      <c r="L209" s="13" t="n">
        <v>70</v>
      </c>
      <c r="M209" s="13" t="n">
        <f aca="false">K209+L209</f>
        <v>240</v>
      </c>
      <c r="N209" s="19" t="n">
        <v>6.5</v>
      </c>
      <c r="O209" s="19" t="n">
        <f aca="false">IF(N209&lt;=35,1,0.25)*M209/(N209+10)*IF(ISNUMBER(SEARCH("KD mismatch",U209)),0.25,1)</f>
        <v>14.5454545454545</v>
      </c>
      <c r="P209" s="20" t="str">
        <f aca="false">IF(N209&lt;=10,"Quick win",IF(N209&lt;=20,"Strong",IF(N209&lt;=35,"Moderate","Stretch")))</f>
        <v>Quick win</v>
      </c>
      <c r="Q209" s="12"/>
      <c r="R209" s="12"/>
      <c r="S209" s="12" t="s">
        <v>1409</v>
      </c>
      <c r="T209" s="12"/>
      <c r="U209" s="12"/>
      <c r="V209" s="14" t="s">
        <v>203</v>
      </c>
      <c r="W209" s="14"/>
      <c r="X209" s="15"/>
      <c r="Y209" s="14"/>
      <c r="Z209" s="24"/>
    </row>
    <row r="210" customFormat="false" ht="23.85" hidden="false" customHeight="false" outlineLevel="0" collapsed="false">
      <c r="A210" s="11" t="n">
        <v>209</v>
      </c>
      <c r="B210" s="11" t="s">
        <v>4</v>
      </c>
      <c r="C210" s="11" t="s">
        <v>1410</v>
      </c>
      <c r="D210" s="11" t="s">
        <v>1411</v>
      </c>
      <c r="E210" s="20" t="s">
        <v>627</v>
      </c>
      <c r="F210" s="11" t="s">
        <v>1056</v>
      </c>
      <c r="G210" s="11" t="s">
        <v>205</v>
      </c>
      <c r="H210" s="11" t="s">
        <v>205</v>
      </c>
      <c r="I210" s="11" t="s">
        <v>205</v>
      </c>
      <c r="J210" s="11" t="s">
        <v>184</v>
      </c>
      <c r="K210" s="13" t="n">
        <v>170</v>
      </c>
      <c r="L210" s="13" t="n">
        <v>170</v>
      </c>
      <c r="M210" s="13" t="n">
        <f aca="false">K210+L210</f>
        <v>340</v>
      </c>
      <c r="N210" s="19" t="n">
        <v>13.5</v>
      </c>
      <c r="O210" s="19" t="n">
        <f aca="false">IF(N210&lt;=35,1,0.25)*M210/(N210+10)*IF(ISNUMBER(SEARCH("KD mismatch",U210)),0.25,1)</f>
        <v>14.468085106383</v>
      </c>
      <c r="P210" s="20" t="str">
        <f aca="false">IF(N210&lt;=10,"Quick win",IF(N210&lt;=20,"Strong",IF(N210&lt;=35,"Moderate","Stretch")))</f>
        <v>Strong</v>
      </c>
      <c r="Q210" s="12"/>
      <c r="R210" s="12"/>
      <c r="S210" s="12" t="s">
        <v>1050</v>
      </c>
      <c r="T210" s="12"/>
      <c r="U210" s="12"/>
      <c r="V210" s="14" t="s">
        <v>203</v>
      </c>
      <c r="W210" s="14"/>
      <c r="X210" s="15"/>
      <c r="Y210" s="14"/>
      <c r="Z210" s="24"/>
    </row>
    <row r="211" customFormat="false" ht="23.85" hidden="false" customHeight="false" outlineLevel="0" collapsed="false">
      <c r="A211" s="11" t="n">
        <v>210</v>
      </c>
      <c r="B211" s="11" t="s">
        <v>4</v>
      </c>
      <c r="C211" s="11" t="s">
        <v>1412</v>
      </c>
      <c r="D211" s="11" t="s">
        <v>1413</v>
      </c>
      <c r="E211" s="20" t="s">
        <v>648</v>
      </c>
      <c r="F211" s="11" t="s">
        <v>700</v>
      </c>
      <c r="G211" s="11" t="s">
        <v>382</v>
      </c>
      <c r="H211" s="11" t="s">
        <v>1065</v>
      </c>
      <c r="I211" s="11" t="s">
        <v>382</v>
      </c>
      <c r="J211" s="11" t="s">
        <v>143</v>
      </c>
      <c r="K211" s="13" t="n">
        <v>260</v>
      </c>
      <c r="L211" s="13" t="n">
        <v>0</v>
      </c>
      <c r="M211" s="13" t="n">
        <f aca="false">K211+L211</f>
        <v>260</v>
      </c>
      <c r="N211" s="19" t="n">
        <v>8</v>
      </c>
      <c r="O211" s="19" t="n">
        <f aca="false">IF(N211&lt;=35,1,0.25)*M211/(N211+10)*IF(ISNUMBER(SEARCH("KD mismatch",U211)),0.25,1)</f>
        <v>14.4444444444444</v>
      </c>
      <c r="P211" s="20" t="str">
        <f aca="false">IF(N211&lt;=10,"Quick win",IF(N211&lt;=20,"Strong",IF(N211&lt;=35,"Moderate","Stretch")))</f>
        <v>Quick win</v>
      </c>
      <c r="Q211" s="12"/>
      <c r="R211" s="12"/>
      <c r="S211" s="12" t="s">
        <v>1414</v>
      </c>
      <c r="T211" s="12"/>
      <c r="U211" s="12"/>
      <c r="V211" s="14" t="s">
        <v>203</v>
      </c>
      <c r="W211" s="14"/>
      <c r="X211" s="15"/>
      <c r="Y211" s="14"/>
      <c r="Z211" s="24"/>
    </row>
    <row r="212" customFormat="false" ht="23.85" hidden="false" customHeight="false" outlineLevel="0" collapsed="false">
      <c r="A212" s="11" t="n">
        <v>211</v>
      </c>
      <c r="B212" s="11" t="s">
        <v>4</v>
      </c>
      <c r="C212" s="11" t="s">
        <v>1415</v>
      </c>
      <c r="D212" s="11" t="s">
        <v>1416</v>
      </c>
      <c r="E212" s="20" t="s">
        <v>627</v>
      </c>
      <c r="F212" s="11" t="s">
        <v>642</v>
      </c>
      <c r="G212" s="11" t="s">
        <v>1417</v>
      </c>
      <c r="H212" s="11" t="s">
        <v>1418</v>
      </c>
      <c r="I212" s="11" t="s">
        <v>205</v>
      </c>
      <c r="J212" s="11" t="s">
        <v>56</v>
      </c>
      <c r="K212" s="13" t="n">
        <v>140</v>
      </c>
      <c r="L212" s="13" t="n">
        <v>110</v>
      </c>
      <c r="M212" s="13" t="n">
        <f aca="false">K212+L212</f>
        <v>250</v>
      </c>
      <c r="N212" s="19" t="n">
        <v>7.4</v>
      </c>
      <c r="O212" s="19" t="n">
        <f aca="false">IF(N212&lt;=35,1,0.25)*M212/(N212+10)*IF(ISNUMBER(SEARCH("KD mismatch",U212)),0.25,1)</f>
        <v>14.367816091954</v>
      </c>
      <c r="P212" s="20" t="str">
        <f aca="false">IF(N212&lt;=10,"Quick win",IF(N212&lt;=20,"Strong",IF(N212&lt;=35,"Moderate","Stretch")))</f>
        <v>Quick win</v>
      </c>
      <c r="Q212" s="12"/>
      <c r="R212" s="12"/>
      <c r="S212" s="12" t="s">
        <v>1419</v>
      </c>
      <c r="T212" s="12"/>
      <c r="U212" s="12"/>
      <c r="V212" s="14" t="s">
        <v>203</v>
      </c>
      <c r="W212" s="14"/>
      <c r="X212" s="15"/>
      <c r="Y212" s="14"/>
      <c r="Z212" s="24"/>
    </row>
    <row r="213" customFormat="false" ht="23.85" hidden="false" customHeight="false" outlineLevel="0" collapsed="false">
      <c r="A213" s="11" t="n">
        <v>212</v>
      </c>
      <c r="B213" s="11" t="s">
        <v>4</v>
      </c>
      <c r="C213" s="11" t="s">
        <v>1420</v>
      </c>
      <c r="D213" s="11" t="s">
        <v>1421</v>
      </c>
      <c r="E213" s="20" t="s">
        <v>648</v>
      </c>
      <c r="F213" s="11" t="s">
        <v>700</v>
      </c>
      <c r="G213" s="11" t="s">
        <v>133</v>
      </c>
      <c r="H213" s="11" t="s">
        <v>247</v>
      </c>
      <c r="I213" s="11" t="s">
        <v>133</v>
      </c>
      <c r="J213" s="11" t="s">
        <v>143</v>
      </c>
      <c r="K213" s="13" t="n">
        <v>210</v>
      </c>
      <c r="L213" s="13" t="n">
        <v>0</v>
      </c>
      <c r="M213" s="13" t="n">
        <f aca="false">K213+L213</f>
        <v>210</v>
      </c>
      <c r="N213" s="19" t="n">
        <v>5</v>
      </c>
      <c r="O213" s="19" t="n">
        <f aca="false">IF(N213&lt;=35,1,0.25)*M213/(N213+10)*IF(ISNUMBER(SEARCH("KD mismatch",U213)),0.25,1)</f>
        <v>14</v>
      </c>
      <c r="P213" s="20" t="str">
        <f aca="false">IF(N213&lt;=10,"Quick win",IF(N213&lt;=20,"Strong",IF(N213&lt;=35,"Moderate","Stretch")))</f>
        <v>Quick win</v>
      </c>
      <c r="Q213" s="12"/>
      <c r="R213" s="12"/>
      <c r="S213" s="12" t="s">
        <v>1422</v>
      </c>
      <c r="T213" s="12"/>
      <c r="U213" s="12"/>
      <c r="V213" s="14" t="s">
        <v>203</v>
      </c>
      <c r="W213" s="14"/>
      <c r="X213" s="15"/>
      <c r="Y213" s="14"/>
      <c r="Z213" s="24"/>
    </row>
    <row r="214" customFormat="false" ht="23.85" hidden="false" customHeight="false" outlineLevel="0" collapsed="false">
      <c r="A214" s="11" t="n">
        <v>213</v>
      </c>
      <c r="B214" s="11" t="s">
        <v>4</v>
      </c>
      <c r="C214" s="11" t="s">
        <v>1423</v>
      </c>
      <c r="D214" s="11" t="s">
        <v>1424</v>
      </c>
      <c r="E214" s="20" t="s">
        <v>627</v>
      </c>
      <c r="F214" s="11" t="s">
        <v>738</v>
      </c>
      <c r="G214" s="11" t="s">
        <v>314</v>
      </c>
      <c r="H214" s="11" t="s">
        <v>314</v>
      </c>
      <c r="I214" s="11" t="s">
        <v>314</v>
      </c>
      <c r="J214" s="11" t="s">
        <v>183</v>
      </c>
      <c r="K214" s="13" t="n">
        <v>320</v>
      </c>
      <c r="L214" s="13" t="n">
        <v>0</v>
      </c>
      <c r="M214" s="13" t="n">
        <f aca="false">K214+L214</f>
        <v>320</v>
      </c>
      <c r="N214" s="19" t="n">
        <v>13</v>
      </c>
      <c r="O214" s="19" t="n">
        <f aca="false">IF(N214&lt;=35,1,0.25)*M214/(N214+10)*IF(ISNUMBER(SEARCH("KD mismatch",U214)),0.25,1)</f>
        <v>13.9130434782609</v>
      </c>
      <c r="P214" s="20" t="str">
        <f aca="false">IF(N214&lt;=10,"Quick win",IF(N214&lt;=20,"Strong",IF(N214&lt;=35,"Moderate","Stretch")))</f>
        <v>Strong</v>
      </c>
      <c r="Q214" s="12"/>
      <c r="R214" s="12"/>
      <c r="S214" s="12" t="s">
        <v>1217</v>
      </c>
      <c r="T214" s="12"/>
      <c r="U214" s="12"/>
      <c r="V214" s="14" t="s">
        <v>203</v>
      </c>
      <c r="W214" s="14"/>
      <c r="X214" s="15"/>
      <c r="Y214" s="14"/>
      <c r="Z214" s="24"/>
    </row>
    <row r="215" customFormat="false" ht="23.85" hidden="false" customHeight="false" outlineLevel="0" collapsed="false">
      <c r="A215" s="11" t="n">
        <v>214</v>
      </c>
      <c r="B215" s="11" t="s">
        <v>4</v>
      </c>
      <c r="C215" s="11" t="s">
        <v>1425</v>
      </c>
      <c r="D215" s="11" t="s">
        <v>1426</v>
      </c>
      <c r="E215" s="20" t="s">
        <v>627</v>
      </c>
      <c r="F215" s="11" t="s">
        <v>642</v>
      </c>
      <c r="G215" s="11" t="s">
        <v>389</v>
      </c>
      <c r="H215" s="11" t="s">
        <v>389</v>
      </c>
      <c r="I215" s="11" t="s">
        <v>389</v>
      </c>
      <c r="J215" s="11" t="s">
        <v>56</v>
      </c>
      <c r="K215" s="13" t="n">
        <v>260</v>
      </c>
      <c r="L215" s="13" t="n">
        <v>0</v>
      </c>
      <c r="M215" s="13" t="n">
        <f aca="false">K215+L215</f>
        <v>260</v>
      </c>
      <c r="N215" s="19" t="n">
        <v>9</v>
      </c>
      <c r="O215" s="19" t="n">
        <f aca="false">IF(N215&lt;=35,1,0.25)*M215/(N215+10)*IF(ISNUMBER(SEARCH("KD mismatch",U215)),0.25,1)</f>
        <v>13.6842105263158</v>
      </c>
      <c r="P215" s="20" t="str">
        <f aca="false">IF(N215&lt;=10,"Quick win",IF(N215&lt;=20,"Strong",IF(N215&lt;=35,"Moderate","Stretch")))</f>
        <v>Quick win</v>
      </c>
      <c r="Q215" s="12"/>
      <c r="R215" s="12"/>
      <c r="S215" s="12" t="s">
        <v>1427</v>
      </c>
      <c r="T215" s="12"/>
      <c r="U215" s="12"/>
      <c r="V215" s="14" t="s">
        <v>203</v>
      </c>
      <c r="W215" s="14"/>
      <c r="X215" s="15"/>
      <c r="Y215" s="14"/>
      <c r="Z215" s="24"/>
    </row>
    <row r="216" customFormat="false" ht="23.85" hidden="false" customHeight="false" outlineLevel="0" collapsed="false">
      <c r="A216" s="11" t="n">
        <v>215</v>
      </c>
      <c r="B216" s="11" t="s">
        <v>4</v>
      </c>
      <c r="C216" s="11" t="s">
        <v>1428</v>
      </c>
      <c r="D216" s="11" t="s">
        <v>1429</v>
      </c>
      <c r="E216" s="20" t="s">
        <v>627</v>
      </c>
      <c r="F216" s="11" t="s">
        <v>642</v>
      </c>
      <c r="G216" s="11" t="s">
        <v>1430</v>
      </c>
      <c r="H216" s="11" t="s">
        <v>1431</v>
      </c>
      <c r="I216" s="11" t="s">
        <v>399</v>
      </c>
      <c r="J216" s="11" t="s">
        <v>56</v>
      </c>
      <c r="K216" s="13" t="n">
        <v>260</v>
      </c>
      <c r="L216" s="13" t="n">
        <v>0</v>
      </c>
      <c r="M216" s="13" t="n">
        <f aca="false">K216+L216</f>
        <v>260</v>
      </c>
      <c r="N216" s="19" t="n">
        <v>9</v>
      </c>
      <c r="O216" s="19" t="n">
        <f aca="false">IF(N216&lt;=35,1,0.25)*M216/(N216+10)*IF(ISNUMBER(SEARCH("KD mismatch",U216)),0.25,1)</f>
        <v>13.6842105263158</v>
      </c>
      <c r="P216" s="20" t="str">
        <f aca="false">IF(N216&lt;=10,"Quick win",IF(N216&lt;=20,"Strong",IF(N216&lt;=35,"Moderate","Stretch")))</f>
        <v>Quick win</v>
      </c>
      <c r="Q216" s="12"/>
      <c r="R216" s="12"/>
      <c r="S216" s="12" t="s">
        <v>1432</v>
      </c>
      <c r="T216" s="12"/>
      <c r="U216" s="12"/>
      <c r="V216" s="14" t="s">
        <v>203</v>
      </c>
      <c r="W216" s="14"/>
      <c r="X216" s="15"/>
      <c r="Y216" s="14"/>
      <c r="Z216" s="24"/>
    </row>
    <row r="217" customFormat="false" ht="23.85" hidden="false" customHeight="false" outlineLevel="0" collapsed="false">
      <c r="A217" s="11" t="n">
        <v>216</v>
      </c>
      <c r="B217" s="11" t="s">
        <v>4</v>
      </c>
      <c r="C217" s="11" t="s">
        <v>1433</v>
      </c>
      <c r="D217" s="11" t="s">
        <v>1434</v>
      </c>
      <c r="E217" s="20" t="s">
        <v>648</v>
      </c>
      <c r="F217" s="11" t="s">
        <v>649</v>
      </c>
      <c r="G217" s="11" t="s">
        <v>379</v>
      </c>
      <c r="H217" s="11" t="s">
        <v>214</v>
      </c>
      <c r="I217" s="11" t="s">
        <v>379</v>
      </c>
      <c r="J217" s="11" t="s">
        <v>71</v>
      </c>
      <c r="K217" s="13" t="n">
        <v>150</v>
      </c>
      <c r="L217" s="13" t="n">
        <v>160</v>
      </c>
      <c r="M217" s="13" t="n">
        <f aca="false">K217+L217</f>
        <v>310</v>
      </c>
      <c r="N217" s="19" t="n">
        <v>13</v>
      </c>
      <c r="O217" s="19" t="n">
        <f aca="false">IF(N217&lt;=35,1,0.25)*M217/(N217+10)*IF(ISNUMBER(SEARCH("KD mismatch",U217)),0.25,1)</f>
        <v>13.4782608695652</v>
      </c>
      <c r="P217" s="20" t="str">
        <f aca="false">IF(N217&lt;=10,"Quick win",IF(N217&lt;=20,"Strong",IF(N217&lt;=35,"Moderate","Stretch")))</f>
        <v>Strong</v>
      </c>
      <c r="Q217" s="12" t="s">
        <v>1435</v>
      </c>
      <c r="R217" s="12" t="s">
        <v>1436</v>
      </c>
      <c r="S217" s="12" t="s">
        <v>1437</v>
      </c>
      <c r="T217" s="12"/>
      <c r="U217" s="12"/>
      <c r="V217" s="14" t="s">
        <v>203</v>
      </c>
      <c r="W217" s="14"/>
      <c r="X217" s="15"/>
      <c r="Y217" s="14"/>
      <c r="Z217" s="24"/>
    </row>
    <row r="218" customFormat="false" ht="23.85" hidden="false" customHeight="false" outlineLevel="0" collapsed="false">
      <c r="A218" s="11" t="n">
        <v>217</v>
      </c>
      <c r="B218" s="11" t="s">
        <v>4</v>
      </c>
      <c r="C218" s="11" t="s">
        <v>1438</v>
      </c>
      <c r="D218" s="11" t="s">
        <v>1439</v>
      </c>
      <c r="E218" s="20" t="s">
        <v>627</v>
      </c>
      <c r="F218" s="11" t="s">
        <v>738</v>
      </c>
      <c r="G218" s="11" t="s">
        <v>1440</v>
      </c>
      <c r="H218" s="11" t="s">
        <v>1440</v>
      </c>
      <c r="I218" s="11" t="s">
        <v>246</v>
      </c>
      <c r="J218" s="11" t="s">
        <v>183</v>
      </c>
      <c r="K218" s="13" t="n">
        <v>390</v>
      </c>
      <c r="L218" s="13" t="n">
        <v>0</v>
      </c>
      <c r="M218" s="13" t="n">
        <f aca="false">K218+L218</f>
        <v>390</v>
      </c>
      <c r="N218" s="19" t="n">
        <v>19</v>
      </c>
      <c r="O218" s="19" t="n">
        <f aca="false">IF(N218&lt;=35,1,0.25)*M218/(N218+10)*IF(ISNUMBER(SEARCH("KD mismatch",U218)),0.25,1)</f>
        <v>13.448275862069</v>
      </c>
      <c r="P218" s="20" t="str">
        <f aca="false">IF(N218&lt;=10,"Quick win",IF(N218&lt;=20,"Strong",IF(N218&lt;=35,"Moderate","Stretch")))</f>
        <v>Strong</v>
      </c>
      <c r="Q218" s="12"/>
      <c r="R218" s="12"/>
      <c r="S218" s="12" t="s">
        <v>1441</v>
      </c>
      <c r="T218" s="12"/>
      <c r="U218" s="12"/>
      <c r="V218" s="14" t="s">
        <v>203</v>
      </c>
      <c r="W218" s="14"/>
      <c r="X218" s="15"/>
      <c r="Y218" s="14"/>
      <c r="Z218" s="24"/>
    </row>
    <row r="219" customFormat="false" ht="23.85" hidden="false" customHeight="false" outlineLevel="0" collapsed="false">
      <c r="A219" s="11" t="n">
        <v>218</v>
      </c>
      <c r="B219" s="11" t="s">
        <v>4</v>
      </c>
      <c r="C219" s="11" t="s">
        <v>1442</v>
      </c>
      <c r="D219" s="11" t="s">
        <v>1443</v>
      </c>
      <c r="E219" s="20" t="s">
        <v>627</v>
      </c>
      <c r="F219" s="11" t="s">
        <v>738</v>
      </c>
      <c r="G219" s="11" t="s">
        <v>1100</v>
      </c>
      <c r="H219" s="11" t="s">
        <v>1100</v>
      </c>
      <c r="I219" s="11" t="s">
        <v>246</v>
      </c>
      <c r="J219" s="11" t="s">
        <v>183</v>
      </c>
      <c r="K219" s="13" t="n">
        <v>390</v>
      </c>
      <c r="L219" s="13" t="n">
        <v>0</v>
      </c>
      <c r="M219" s="13" t="n">
        <f aca="false">K219+L219</f>
        <v>390</v>
      </c>
      <c r="N219" s="19" t="n">
        <v>19</v>
      </c>
      <c r="O219" s="19" t="n">
        <f aca="false">IF(N219&lt;=35,1,0.25)*M219/(N219+10)*IF(ISNUMBER(SEARCH("KD mismatch",U219)),0.25,1)</f>
        <v>13.448275862069</v>
      </c>
      <c r="P219" s="20" t="str">
        <f aca="false">IF(N219&lt;=10,"Quick win",IF(N219&lt;=20,"Strong",IF(N219&lt;=35,"Moderate","Stretch")))</f>
        <v>Strong</v>
      </c>
      <c r="Q219" s="12"/>
      <c r="R219" s="12"/>
      <c r="S219" s="12" t="s">
        <v>1444</v>
      </c>
      <c r="T219" s="12"/>
      <c r="U219" s="12"/>
      <c r="V219" s="14" t="s">
        <v>203</v>
      </c>
      <c r="W219" s="14"/>
      <c r="X219" s="15"/>
      <c r="Y219" s="14"/>
      <c r="Z219" s="24"/>
    </row>
    <row r="220" customFormat="false" ht="23.85" hidden="false" customHeight="false" outlineLevel="0" collapsed="false">
      <c r="A220" s="11" t="n">
        <v>219</v>
      </c>
      <c r="B220" s="11" t="s">
        <v>4</v>
      </c>
      <c r="C220" s="11" t="s">
        <v>1445</v>
      </c>
      <c r="D220" s="11" t="s">
        <v>1446</v>
      </c>
      <c r="E220" s="20" t="s">
        <v>648</v>
      </c>
      <c r="F220" s="11" t="s">
        <v>700</v>
      </c>
      <c r="G220" s="11" t="s">
        <v>389</v>
      </c>
      <c r="H220" s="11" t="s">
        <v>389</v>
      </c>
      <c r="I220" s="11" t="s">
        <v>389</v>
      </c>
      <c r="J220" s="11" t="s">
        <v>143</v>
      </c>
      <c r="K220" s="13" t="n">
        <v>390</v>
      </c>
      <c r="L220" s="13" t="n">
        <v>0</v>
      </c>
      <c r="M220" s="13" t="n">
        <f aca="false">K220+L220</f>
        <v>390</v>
      </c>
      <c r="N220" s="19" t="n">
        <v>19</v>
      </c>
      <c r="O220" s="19" t="n">
        <f aca="false">IF(N220&lt;=35,1,0.25)*M220/(N220+10)*IF(ISNUMBER(SEARCH("KD mismatch",U220)),0.25,1)</f>
        <v>13.448275862069</v>
      </c>
      <c r="P220" s="20" t="str">
        <f aca="false">IF(N220&lt;=10,"Quick win",IF(N220&lt;=20,"Strong",IF(N220&lt;=35,"Moderate","Stretch")))</f>
        <v>Strong</v>
      </c>
      <c r="Q220" s="12"/>
      <c r="R220" s="12"/>
      <c r="S220" s="12" t="s">
        <v>1447</v>
      </c>
      <c r="T220" s="12"/>
      <c r="U220" s="12"/>
      <c r="V220" s="14" t="s">
        <v>203</v>
      </c>
      <c r="W220" s="14"/>
      <c r="X220" s="15"/>
      <c r="Y220" s="14"/>
      <c r="Z220" s="24"/>
    </row>
    <row r="221" customFormat="false" ht="23.85" hidden="false" customHeight="false" outlineLevel="0" collapsed="false">
      <c r="A221" s="11" t="n">
        <v>220</v>
      </c>
      <c r="B221" s="11" t="s">
        <v>4</v>
      </c>
      <c r="C221" s="11" t="s">
        <v>1448</v>
      </c>
      <c r="D221" s="11" t="s">
        <v>1449</v>
      </c>
      <c r="E221" s="20" t="s">
        <v>648</v>
      </c>
      <c r="F221" s="11" t="s">
        <v>692</v>
      </c>
      <c r="G221" s="11" t="s">
        <v>333</v>
      </c>
      <c r="H221" s="11" t="s">
        <v>334</v>
      </c>
      <c r="I221" s="11" t="s">
        <v>333</v>
      </c>
      <c r="J221" s="11" t="s">
        <v>71</v>
      </c>
      <c r="K221" s="13" t="n">
        <v>140</v>
      </c>
      <c r="L221" s="13" t="n">
        <v>70</v>
      </c>
      <c r="M221" s="13" t="n">
        <f aca="false">K221+L221</f>
        <v>210</v>
      </c>
      <c r="N221" s="19" t="n">
        <v>5.7</v>
      </c>
      <c r="O221" s="19" t="n">
        <f aca="false">IF(N221&lt;=35,1,0.25)*M221/(N221+10)*IF(ISNUMBER(SEARCH("KD mismatch",U221)),0.25,1)</f>
        <v>13.375796178344</v>
      </c>
      <c r="P221" s="20" t="str">
        <f aca="false">IF(N221&lt;=10,"Quick win",IF(N221&lt;=20,"Strong",IF(N221&lt;=35,"Moderate","Stretch")))</f>
        <v>Quick win</v>
      </c>
      <c r="Q221" s="12"/>
      <c r="R221" s="12"/>
      <c r="S221" s="12" t="s">
        <v>1450</v>
      </c>
      <c r="T221" s="12"/>
      <c r="U221" s="12"/>
      <c r="V221" s="14" t="s">
        <v>203</v>
      </c>
      <c r="W221" s="14"/>
      <c r="X221" s="15"/>
      <c r="Y221" s="14"/>
      <c r="Z221" s="24"/>
    </row>
    <row r="222" customFormat="false" ht="23.85" hidden="false" customHeight="false" outlineLevel="0" collapsed="false">
      <c r="A222" s="11" t="n">
        <v>221</v>
      </c>
      <c r="B222" s="11" t="s">
        <v>4</v>
      </c>
      <c r="C222" s="11" t="s">
        <v>1451</v>
      </c>
      <c r="D222" s="11" t="s">
        <v>1452</v>
      </c>
      <c r="E222" s="20" t="s">
        <v>648</v>
      </c>
      <c r="F222" s="11" t="s">
        <v>850</v>
      </c>
      <c r="G222" s="11" t="s">
        <v>238</v>
      </c>
      <c r="H222" s="11" t="s">
        <v>204</v>
      </c>
      <c r="I222" s="11" t="s">
        <v>238</v>
      </c>
      <c r="J222" s="11" t="s">
        <v>71</v>
      </c>
      <c r="K222" s="13" t="n">
        <v>110</v>
      </c>
      <c r="L222" s="13" t="n">
        <v>90</v>
      </c>
      <c r="M222" s="13" t="n">
        <f aca="false">K222+L222</f>
        <v>200</v>
      </c>
      <c r="N222" s="19" t="n">
        <v>5.1</v>
      </c>
      <c r="O222" s="19" t="n">
        <f aca="false">IF(N222&lt;=35,1,0.25)*M222/(N222+10)*IF(ISNUMBER(SEARCH("KD mismatch",U222)),0.25,1)</f>
        <v>13.2450331125828</v>
      </c>
      <c r="P222" s="20" t="str">
        <f aca="false">IF(N222&lt;=10,"Quick win",IF(N222&lt;=20,"Strong",IF(N222&lt;=35,"Moderate","Stretch")))</f>
        <v>Quick win</v>
      </c>
      <c r="Q222" s="12"/>
      <c r="R222" s="12"/>
      <c r="S222" s="12" t="s">
        <v>1453</v>
      </c>
      <c r="T222" s="12"/>
      <c r="U222" s="12"/>
      <c r="V222" s="14" t="s">
        <v>203</v>
      </c>
      <c r="W222" s="14"/>
      <c r="X222" s="15"/>
      <c r="Y222" s="14"/>
      <c r="Z222" s="24"/>
    </row>
    <row r="223" customFormat="false" ht="23.85" hidden="false" customHeight="false" outlineLevel="0" collapsed="false">
      <c r="A223" s="11" t="n">
        <v>222</v>
      </c>
      <c r="B223" s="11" t="s">
        <v>4</v>
      </c>
      <c r="C223" s="11" t="s">
        <v>1454</v>
      </c>
      <c r="D223" s="11" t="s">
        <v>1455</v>
      </c>
      <c r="E223" s="20" t="s">
        <v>648</v>
      </c>
      <c r="F223" s="11" t="s">
        <v>1456</v>
      </c>
      <c r="G223" s="11" t="s">
        <v>370</v>
      </c>
      <c r="H223" s="11" t="s">
        <v>334</v>
      </c>
      <c r="I223" s="11" t="s">
        <v>370</v>
      </c>
      <c r="J223" s="11" t="s">
        <v>71</v>
      </c>
      <c r="K223" s="13" t="n">
        <v>210</v>
      </c>
      <c r="L223" s="13" t="n">
        <v>0</v>
      </c>
      <c r="M223" s="13" t="n">
        <f aca="false">K223+L223</f>
        <v>210</v>
      </c>
      <c r="N223" s="19" t="n">
        <v>6</v>
      </c>
      <c r="O223" s="19" t="n">
        <f aca="false">IF(N223&lt;=35,1,0.25)*M223/(N223+10)*IF(ISNUMBER(SEARCH("KD mismatch",U223)),0.25,1)</f>
        <v>13.125</v>
      </c>
      <c r="P223" s="20" t="str">
        <f aca="false">IF(N223&lt;=10,"Quick win",IF(N223&lt;=20,"Strong",IF(N223&lt;=35,"Moderate","Stretch")))</f>
        <v>Quick win</v>
      </c>
      <c r="Q223" s="12"/>
      <c r="R223" s="12"/>
      <c r="S223" s="12" t="s">
        <v>1457</v>
      </c>
      <c r="T223" s="12"/>
      <c r="U223" s="12"/>
      <c r="V223" s="14" t="s">
        <v>203</v>
      </c>
      <c r="W223" s="14"/>
      <c r="X223" s="15"/>
      <c r="Y223" s="14"/>
      <c r="Z223" s="24"/>
    </row>
    <row r="224" customFormat="false" ht="23.85" hidden="false" customHeight="false" outlineLevel="0" collapsed="false">
      <c r="A224" s="11" t="n">
        <v>223</v>
      </c>
      <c r="B224" s="11" t="s">
        <v>4</v>
      </c>
      <c r="C224" s="11" t="s">
        <v>1458</v>
      </c>
      <c r="D224" s="11" t="s">
        <v>1459</v>
      </c>
      <c r="E224" s="20" t="s">
        <v>627</v>
      </c>
      <c r="F224" s="11" t="s">
        <v>738</v>
      </c>
      <c r="G224" s="11" t="s">
        <v>1460</v>
      </c>
      <c r="H224" s="11" t="s">
        <v>1460</v>
      </c>
      <c r="I224" s="11" t="s">
        <v>205</v>
      </c>
      <c r="J224" s="11" t="s">
        <v>183</v>
      </c>
      <c r="K224" s="13" t="n">
        <v>390</v>
      </c>
      <c r="L224" s="13" t="n">
        <v>0</v>
      </c>
      <c r="M224" s="13" t="n">
        <f aca="false">K224+L224</f>
        <v>390</v>
      </c>
      <c r="N224" s="19" t="n">
        <v>20</v>
      </c>
      <c r="O224" s="19" t="n">
        <f aca="false">IF(N224&lt;=35,1,0.25)*M224/(N224+10)*IF(ISNUMBER(SEARCH("KD mismatch",U224)),0.25,1)</f>
        <v>13</v>
      </c>
      <c r="P224" s="20" t="str">
        <f aca="false">IF(N224&lt;=10,"Quick win",IF(N224&lt;=20,"Strong",IF(N224&lt;=35,"Moderate","Stretch")))</f>
        <v>Strong</v>
      </c>
      <c r="Q224" s="12"/>
      <c r="R224" s="12"/>
      <c r="S224" s="12" t="s">
        <v>1461</v>
      </c>
      <c r="T224" s="12"/>
      <c r="U224" s="12"/>
      <c r="V224" s="14" t="s">
        <v>203</v>
      </c>
      <c r="W224" s="14"/>
      <c r="X224" s="15"/>
      <c r="Y224" s="14"/>
      <c r="Z224" s="24"/>
    </row>
    <row r="225" customFormat="false" ht="23.85" hidden="false" customHeight="false" outlineLevel="0" collapsed="false">
      <c r="A225" s="11" t="n">
        <v>224</v>
      </c>
      <c r="B225" s="11" t="s">
        <v>4</v>
      </c>
      <c r="C225" s="11" t="s">
        <v>1462</v>
      </c>
      <c r="D225" s="11" t="s">
        <v>1463</v>
      </c>
      <c r="E225" s="20" t="s">
        <v>648</v>
      </c>
      <c r="F225" s="11" t="s">
        <v>686</v>
      </c>
      <c r="G225" s="11" t="s">
        <v>318</v>
      </c>
      <c r="H225" s="11" t="s">
        <v>241</v>
      </c>
      <c r="I225" s="11" t="s">
        <v>318</v>
      </c>
      <c r="J225" s="11" t="s">
        <v>143</v>
      </c>
      <c r="K225" s="13" t="n">
        <v>210</v>
      </c>
      <c r="L225" s="13" t="n">
        <v>30</v>
      </c>
      <c r="M225" s="13" t="n">
        <f aca="false">K225+L225</f>
        <v>240</v>
      </c>
      <c r="N225" s="19" t="n">
        <v>8.9</v>
      </c>
      <c r="O225" s="19" t="n">
        <f aca="false">IF(N225&lt;=35,1,0.25)*M225/(N225+10)*IF(ISNUMBER(SEARCH("KD mismatch",U225)),0.25,1)</f>
        <v>12.6984126984127</v>
      </c>
      <c r="P225" s="20" t="str">
        <f aca="false">IF(N225&lt;=10,"Quick win",IF(N225&lt;=20,"Strong",IF(N225&lt;=35,"Moderate","Stretch")))</f>
        <v>Quick win</v>
      </c>
      <c r="Q225" s="12"/>
      <c r="R225" s="12"/>
      <c r="S225" s="12" t="s">
        <v>1464</v>
      </c>
      <c r="T225" s="12"/>
      <c r="U225" s="12"/>
      <c r="V225" s="14" t="s">
        <v>203</v>
      </c>
      <c r="W225" s="14"/>
      <c r="X225" s="15"/>
      <c r="Y225" s="14"/>
      <c r="Z225" s="24"/>
    </row>
    <row r="226" customFormat="false" ht="23.85" hidden="false" customHeight="false" outlineLevel="0" collapsed="false">
      <c r="A226" s="11" t="n">
        <v>225</v>
      </c>
      <c r="B226" s="11" t="s">
        <v>4</v>
      </c>
      <c r="C226" s="11" t="s">
        <v>1465</v>
      </c>
      <c r="D226" s="11" t="s">
        <v>1466</v>
      </c>
      <c r="E226" s="20" t="s">
        <v>627</v>
      </c>
      <c r="F226" s="11" t="s">
        <v>738</v>
      </c>
      <c r="G226" s="11" t="s">
        <v>999</v>
      </c>
      <c r="H226" s="11" t="s">
        <v>999</v>
      </c>
      <c r="I226" s="11" t="s">
        <v>205</v>
      </c>
      <c r="J226" s="11" t="s">
        <v>183</v>
      </c>
      <c r="K226" s="13" t="n">
        <v>170</v>
      </c>
      <c r="L226" s="13" t="n">
        <v>30</v>
      </c>
      <c r="M226" s="13" t="n">
        <f aca="false">K226+L226</f>
        <v>200</v>
      </c>
      <c r="N226" s="19" t="n">
        <v>5.8</v>
      </c>
      <c r="O226" s="19" t="n">
        <f aca="false">IF(N226&lt;=35,1,0.25)*M226/(N226+10)*IF(ISNUMBER(SEARCH("KD mismatch",U226)),0.25,1)</f>
        <v>12.6582278481013</v>
      </c>
      <c r="P226" s="20" t="str">
        <f aca="false">IF(N226&lt;=10,"Quick win",IF(N226&lt;=20,"Strong",IF(N226&lt;=35,"Moderate","Stretch")))</f>
        <v>Quick win</v>
      </c>
      <c r="Q226" s="12"/>
      <c r="R226" s="12"/>
      <c r="S226" s="12" t="s">
        <v>1461</v>
      </c>
      <c r="T226" s="12"/>
      <c r="U226" s="12"/>
      <c r="V226" s="14" t="s">
        <v>203</v>
      </c>
      <c r="W226" s="14"/>
      <c r="X226" s="15"/>
      <c r="Y226" s="14"/>
      <c r="Z226" s="24"/>
    </row>
    <row r="227" customFormat="false" ht="23.85" hidden="false" customHeight="false" outlineLevel="0" collapsed="false">
      <c r="A227" s="11" t="n">
        <v>226</v>
      </c>
      <c r="B227" s="11" t="s">
        <v>4</v>
      </c>
      <c r="C227" s="11" t="s">
        <v>1467</v>
      </c>
      <c r="D227" s="11" t="s">
        <v>1468</v>
      </c>
      <c r="E227" s="20" t="s">
        <v>648</v>
      </c>
      <c r="F227" s="11" t="s">
        <v>796</v>
      </c>
      <c r="G227" s="11" t="s">
        <v>283</v>
      </c>
      <c r="H227" s="11" t="s">
        <v>283</v>
      </c>
      <c r="I227" s="11" t="s">
        <v>283</v>
      </c>
      <c r="J227" s="11" t="s">
        <v>71</v>
      </c>
      <c r="K227" s="13" t="n">
        <v>210</v>
      </c>
      <c r="L227" s="13" t="n">
        <v>50</v>
      </c>
      <c r="M227" s="13" t="n">
        <f aca="false">K227+L227</f>
        <v>260</v>
      </c>
      <c r="N227" s="19" t="n">
        <v>10.8</v>
      </c>
      <c r="O227" s="19" t="n">
        <f aca="false">IF(N227&lt;=35,1,0.25)*M227/(N227+10)*IF(ISNUMBER(SEARCH("KD mismatch",U227)),0.25,1)</f>
        <v>12.5</v>
      </c>
      <c r="P227" s="20" t="str">
        <f aca="false">IF(N227&lt;=10,"Quick win",IF(N227&lt;=20,"Strong",IF(N227&lt;=35,"Moderate","Stretch")))</f>
        <v>Strong</v>
      </c>
      <c r="Q227" s="12"/>
      <c r="R227" s="12"/>
      <c r="S227" s="12" t="s">
        <v>1469</v>
      </c>
      <c r="T227" s="12"/>
      <c r="U227" s="12"/>
      <c r="V227" s="14" t="s">
        <v>203</v>
      </c>
      <c r="W227" s="14"/>
      <c r="X227" s="15"/>
      <c r="Y227" s="14"/>
      <c r="Z227" s="24"/>
    </row>
    <row r="228" customFormat="false" ht="23.85" hidden="false" customHeight="false" outlineLevel="0" collapsed="false">
      <c r="A228" s="11" t="n">
        <v>227</v>
      </c>
      <c r="B228" s="11" t="s">
        <v>4</v>
      </c>
      <c r="C228" s="11" t="s">
        <v>1470</v>
      </c>
      <c r="D228" s="11" t="s">
        <v>1471</v>
      </c>
      <c r="E228" s="20" t="s">
        <v>627</v>
      </c>
      <c r="F228" s="11" t="s">
        <v>642</v>
      </c>
      <c r="G228" s="11" t="s">
        <v>1472</v>
      </c>
      <c r="H228" s="11" t="s">
        <v>1473</v>
      </c>
      <c r="I228" s="11" t="s">
        <v>198</v>
      </c>
      <c r="J228" s="11" t="s">
        <v>56</v>
      </c>
      <c r="K228" s="13" t="n">
        <v>260</v>
      </c>
      <c r="L228" s="13" t="n">
        <v>0</v>
      </c>
      <c r="M228" s="13" t="n">
        <f aca="false">K228+L228</f>
        <v>260</v>
      </c>
      <c r="N228" s="19" t="n">
        <v>11</v>
      </c>
      <c r="O228" s="19" t="n">
        <f aca="false">IF(N228&lt;=35,1,0.25)*M228/(N228+10)*IF(ISNUMBER(SEARCH("KD mismatch",U228)),0.25,1)</f>
        <v>12.3809523809524</v>
      </c>
      <c r="P228" s="20" t="str">
        <f aca="false">IF(N228&lt;=10,"Quick win",IF(N228&lt;=20,"Strong",IF(N228&lt;=35,"Moderate","Stretch")))</f>
        <v>Strong</v>
      </c>
      <c r="Q228" s="12"/>
      <c r="R228" s="12"/>
      <c r="S228" s="12" t="s">
        <v>1474</v>
      </c>
      <c r="T228" s="12" t="s">
        <v>818</v>
      </c>
      <c r="U228" s="12"/>
      <c r="V228" s="14" t="s">
        <v>203</v>
      </c>
      <c r="W228" s="14"/>
      <c r="X228" s="15"/>
      <c r="Y228" s="14"/>
      <c r="Z228" s="24"/>
    </row>
    <row r="229" customFormat="false" ht="23.85" hidden="false" customHeight="false" outlineLevel="0" collapsed="false">
      <c r="A229" s="11" t="n">
        <v>228</v>
      </c>
      <c r="B229" s="11" t="s">
        <v>4</v>
      </c>
      <c r="C229" s="11" t="s">
        <v>1475</v>
      </c>
      <c r="D229" s="11" t="s">
        <v>1476</v>
      </c>
      <c r="E229" s="20" t="s">
        <v>648</v>
      </c>
      <c r="F229" s="11" t="s">
        <v>850</v>
      </c>
      <c r="G229" s="11" t="s">
        <v>412</v>
      </c>
      <c r="H229" s="11" t="s">
        <v>214</v>
      </c>
      <c r="I229" s="11" t="s">
        <v>412</v>
      </c>
      <c r="J229" s="11" t="s">
        <v>71</v>
      </c>
      <c r="K229" s="13" t="n">
        <v>180</v>
      </c>
      <c r="L229" s="13" t="n">
        <v>40</v>
      </c>
      <c r="M229" s="13" t="n">
        <f aca="false">K229+L229</f>
        <v>220</v>
      </c>
      <c r="N229" s="19" t="n">
        <v>8.1</v>
      </c>
      <c r="O229" s="19" t="n">
        <f aca="false">IF(N229&lt;=35,1,0.25)*M229/(N229+10)*IF(ISNUMBER(SEARCH("KD mismatch",U229)),0.25,1)</f>
        <v>12.1546961325967</v>
      </c>
      <c r="P229" s="20" t="str">
        <f aca="false">IF(N229&lt;=10,"Quick win",IF(N229&lt;=20,"Strong",IF(N229&lt;=35,"Moderate","Stretch")))</f>
        <v>Quick win</v>
      </c>
      <c r="Q229" s="12"/>
      <c r="R229" s="12"/>
      <c r="S229" s="12" t="s">
        <v>1477</v>
      </c>
      <c r="T229" s="12"/>
      <c r="U229" s="12"/>
      <c r="V229" s="14" t="s">
        <v>203</v>
      </c>
      <c r="W229" s="14"/>
      <c r="X229" s="15"/>
      <c r="Y229" s="14"/>
      <c r="Z229" s="24"/>
    </row>
    <row r="230" customFormat="false" ht="23.85" hidden="false" customHeight="false" outlineLevel="0" collapsed="false">
      <c r="A230" s="11" t="n">
        <v>229</v>
      </c>
      <c r="B230" s="11" t="s">
        <v>4</v>
      </c>
      <c r="C230" s="11" t="s">
        <v>1478</v>
      </c>
      <c r="D230" s="11" t="s">
        <v>1479</v>
      </c>
      <c r="E230" s="20" t="s">
        <v>648</v>
      </c>
      <c r="F230" s="11" t="s">
        <v>692</v>
      </c>
      <c r="G230" s="11" t="s">
        <v>290</v>
      </c>
      <c r="H230" s="11" t="s">
        <v>214</v>
      </c>
      <c r="I230" s="11" t="s">
        <v>290</v>
      </c>
      <c r="J230" s="11" t="s">
        <v>71</v>
      </c>
      <c r="K230" s="13" t="n">
        <v>0</v>
      </c>
      <c r="L230" s="13" t="n">
        <v>170</v>
      </c>
      <c r="M230" s="13" t="n">
        <f aca="false">K230+L230</f>
        <v>170</v>
      </c>
      <c r="N230" s="19" t="n">
        <v>4</v>
      </c>
      <c r="O230" s="19" t="n">
        <f aca="false">IF(N230&lt;=35,1,0.25)*M230/(N230+10)*IF(ISNUMBER(SEARCH("KD mismatch",U230)),0.25,1)</f>
        <v>12.1428571428571</v>
      </c>
      <c r="P230" s="20" t="str">
        <f aca="false">IF(N230&lt;=10,"Quick win",IF(N230&lt;=20,"Strong",IF(N230&lt;=35,"Moderate","Stretch")))</f>
        <v>Quick win</v>
      </c>
      <c r="Q230" s="12"/>
      <c r="R230" s="12"/>
      <c r="S230" s="12" t="s">
        <v>1480</v>
      </c>
      <c r="T230" s="12" t="s">
        <v>927</v>
      </c>
      <c r="U230" s="12"/>
      <c r="V230" s="14" t="s">
        <v>203</v>
      </c>
      <c r="W230" s="14"/>
      <c r="X230" s="15"/>
      <c r="Y230" s="14"/>
      <c r="Z230" s="24"/>
    </row>
    <row r="231" customFormat="false" ht="23.85" hidden="false" customHeight="false" outlineLevel="0" collapsed="false">
      <c r="A231" s="11" t="n">
        <v>230</v>
      </c>
      <c r="B231" s="11" t="s">
        <v>4</v>
      </c>
      <c r="C231" s="11" t="s">
        <v>1481</v>
      </c>
      <c r="D231" s="11" t="s">
        <v>1482</v>
      </c>
      <c r="E231" s="20" t="s">
        <v>648</v>
      </c>
      <c r="F231" s="11" t="s">
        <v>850</v>
      </c>
      <c r="G231" s="11" t="s">
        <v>89</v>
      </c>
      <c r="H231" s="11" t="s">
        <v>224</v>
      </c>
      <c r="I231" s="11" t="s">
        <v>89</v>
      </c>
      <c r="J231" s="11" t="s">
        <v>71</v>
      </c>
      <c r="K231" s="13" t="n">
        <v>0</v>
      </c>
      <c r="L231" s="13" t="n">
        <v>170</v>
      </c>
      <c r="M231" s="13" t="n">
        <f aca="false">K231+L231</f>
        <v>170</v>
      </c>
      <c r="N231" s="19" t="n">
        <v>4</v>
      </c>
      <c r="O231" s="19" t="n">
        <f aca="false">IF(N231&lt;=35,1,0.25)*M231/(N231+10)*IF(ISNUMBER(SEARCH("KD mismatch",U231)),0.25,1)</f>
        <v>12.1428571428571</v>
      </c>
      <c r="P231" s="20" t="str">
        <f aca="false">IF(N231&lt;=10,"Quick win",IF(N231&lt;=20,"Strong",IF(N231&lt;=35,"Moderate","Stretch")))</f>
        <v>Quick win</v>
      </c>
      <c r="Q231" s="12"/>
      <c r="R231" s="12"/>
      <c r="S231" s="12" t="s">
        <v>1336</v>
      </c>
      <c r="T231" s="12"/>
      <c r="U231" s="12"/>
      <c r="V231" s="14" t="s">
        <v>203</v>
      </c>
      <c r="W231" s="14"/>
      <c r="X231" s="15"/>
      <c r="Y231" s="14"/>
      <c r="Z231" s="24"/>
    </row>
    <row r="232" customFormat="false" ht="23.85" hidden="false" customHeight="false" outlineLevel="0" collapsed="false">
      <c r="A232" s="11" t="n">
        <v>231</v>
      </c>
      <c r="B232" s="11" t="s">
        <v>4</v>
      </c>
      <c r="C232" s="11" t="s">
        <v>1483</v>
      </c>
      <c r="D232" s="11" t="s">
        <v>1484</v>
      </c>
      <c r="E232" s="20" t="s">
        <v>627</v>
      </c>
      <c r="F232" s="11" t="s">
        <v>881</v>
      </c>
      <c r="G232" s="11" t="s">
        <v>204</v>
      </c>
      <c r="H232" s="11" t="s">
        <v>204</v>
      </c>
      <c r="I232" s="11" t="s">
        <v>204</v>
      </c>
      <c r="J232" s="11" t="s">
        <v>182</v>
      </c>
      <c r="K232" s="13" t="n">
        <v>170</v>
      </c>
      <c r="L232" s="13" t="n">
        <v>170</v>
      </c>
      <c r="M232" s="13" t="n">
        <f aca="false">K232+L232</f>
        <v>340</v>
      </c>
      <c r="N232" s="19" t="n">
        <v>18</v>
      </c>
      <c r="O232" s="19" t="n">
        <f aca="false">IF(N232&lt;=35,1,0.25)*M232/(N232+10)*IF(ISNUMBER(SEARCH("KD mismatch",U232)),0.25,1)</f>
        <v>12.1428571428571</v>
      </c>
      <c r="P232" s="20" t="str">
        <f aca="false">IF(N232&lt;=10,"Quick win",IF(N232&lt;=20,"Strong",IF(N232&lt;=35,"Moderate","Stretch")))</f>
        <v>Strong</v>
      </c>
      <c r="Q232" s="12"/>
      <c r="R232" s="12"/>
      <c r="S232" s="12" t="s">
        <v>1017</v>
      </c>
      <c r="T232" s="12"/>
      <c r="U232" s="12"/>
      <c r="V232" s="14" t="s">
        <v>203</v>
      </c>
      <c r="W232" s="14"/>
      <c r="X232" s="15"/>
      <c r="Y232" s="14"/>
      <c r="Z232" s="24"/>
    </row>
    <row r="233" customFormat="false" ht="23.85" hidden="false" customHeight="false" outlineLevel="0" collapsed="false">
      <c r="A233" s="11" t="n">
        <v>232</v>
      </c>
      <c r="B233" s="11" t="s">
        <v>4</v>
      </c>
      <c r="C233" s="11" t="s">
        <v>1485</v>
      </c>
      <c r="D233" s="11" t="s">
        <v>1486</v>
      </c>
      <c r="E233" s="20" t="s">
        <v>648</v>
      </c>
      <c r="F233" s="11" t="s">
        <v>784</v>
      </c>
      <c r="G233" s="11" t="s">
        <v>267</v>
      </c>
      <c r="H233" s="11" t="s">
        <v>232</v>
      </c>
      <c r="I233" s="11" t="s">
        <v>267</v>
      </c>
      <c r="J233" s="11" t="s">
        <v>143</v>
      </c>
      <c r="K233" s="13" t="n">
        <v>210</v>
      </c>
      <c r="L233" s="13" t="n">
        <v>0</v>
      </c>
      <c r="M233" s="13" t="n">
        <f aca="false">K233+L233</f>
        <v>210</v>
      </c>
      <c r="N233" s="19" t="n">
        <v>8</v>
      </c>
      <c r="O233" s="19" t="n">
        <f aca="false">IF(N233&lt;=35,1,0.25)*M233/(N233+10)*IF(ISNUMBER(SEARCH("KD mismatch",U233)),0.25,1)</f>
        <v>11.6666666666667</v>
      </c>
      <c r="P233" s="20" t="str">
        <f aca="false">IF(N233&lt;=10,"Quick win",IF(N233&lt;=20,"Strong",IF(N233&lt;=35,"Moderate","Stretch")))</f>
        <v>Quick win</v>
      </c>
      <c r="Q233" s="12"/>
      <c r="R233" s="12"/>
      <c r="S233" s="12" t="s">
        <v>1487</v>
      </c>
      <c r="T233" s="12"/>
      <c r="U233" s="12"/>
      <c r="V233" s="14" t="s">
        <v>203</v>
      </c>
      <c r="W233" s="14"/>
      <c r="X233" s="15"/>
      <c r="Y233" s="14"/>
      <c r="Z233" s="24"/>
    </row>
    <row r="234" customFormat="false" ht="23.85" hidden="false" customHeight="false" outlineLevel="0" collapsed="false">
      <c r="A234" s="11" t="n">
        <v>233</v>
      </c>
      <c r="B234" s="11" t="s">
        <v>4</v>
      </c>
      <c r="C234" s="11" t="s">
        <v>1488</v>
      </c>
      <c r="D234" s="11" t="s">
        <v>1489</v>
      </c>
      <c r="E234" s="20" t="s">
        <v>648</v>
      </c>
      <c r="F234" s="11" t="s">
        <v>1456</v>
      </c>
      <c r="G234" s="11" t="s">
        <v>333</v>
      </c>
      <c r="H234" s="11" t="s">
        <v>334</v>
      </c>
      <c r="I234" s="11" t="s">
        <v>333</v>
      </c>
      <c r="J234" s="11" t="s">
        <v>71</v>
      </c>
      <c r="K234" s="13" t="n">
        <v>210</v>
      </c>
      <c r="L234" s="13" t="n">
        <v>0</v>
      </c>
      <c r="M234" s="13" t="n">
        <f aca="false">K234+L234</f>
        <v>210</v>
      </c>
      <c r="N234" s="19" t="n">
        <v>8</v>
      </c>
      <c r="O234" s="19" t="n">
        <f aca="false">IF(N234&lt;=35,1,0.25)*M234/(N234+10)*IF(ISNUMBER(SEARCH("KD mismatch",U234)),0.25,1)</f>
        <v>11.6666666666667</v>
      </c>
      <c r="P234" s="20" t="str">
        <f aca="false">IF(N234&lt;=10,"Quick win",IF(N234&lt;=20,"Strong",IF(N234&lt;=35,"Moderate","Stretch")))</f>
        <v>Quick win</v>
      </c>
      <c r="Q234" s="12"/>
      <c r="R234" s="12"/>
      <c r="S234" s="12" t="s">
        <v>1490</v>
      </c>
      <c r="T234" s="12"/>
      <c r="U234" s="12"/>
      <c r="V234" s="14" t="s">
        <v>203</v>
      </c>
      <c r="W234" s="14"/>
      <c r="X234" s="15"/>
      <c r="Y234" s="14"/>
      <c r="Z234" s="24"/>
    </row>
    <row r="235" customFormat="false" ht="23.85" hidden="false" customHeight="false" outlineLevel="0" collapsed="false">
      <c r="A235" s="11" t="n">
        <v>234</v>
      </c>
      <c r="B235" s="11" t="s">
        <v>4</v>
      </c>
      <c r="C235" s="11" t="s">
        <v>1491</v>
      </c>
      <c r="D235" s="11" t="s">
        <v>1492</v>
      </c>
      <c r="E235" s="20" t="s">
        <v>648</v>
      </c>
      <c r="F235" s="11" t="s">
        <v>692</v>
      </c>
      <c r="G235" s="11" t="s">
        <v>1390</v>
      </c>
      <c r="H235" s="11" t="s">
        <v>337</v>
      </c>
      <c r="I235" s="11" t="s">
        <v>337</v>
      </c>
      <c r="J235" s="11" t="s">
        <v>71</v>
      </c>
      <c r="K235" s="13" t="n">
        <v>210</v>
      </c>
      <c r="L235" s="13" t="n">
        <v>0</v>
      </c>
      <c r="M235" s="13" t="n">
        <f aca="false">K235+L235</f>
        <v>210</v>
      </c>
      <c r="N235" s="19" t="n">
        <v>8</v>
      </c>
      <c r="O235" s="19" t="n">
        <f aca="false">IF(N235&lt;=35,1,0.25)*M235/(N235+10)*IF(ISNUMBER(SEARCH("KD mismatch",U235)),0.25,1)</f>
        <v>11.6666666666667</v>
      </c>
      <c r="P235" s="20" t="str">
        <f aca="false">IF(N235&lt;=10,"Quick win",IF(N235&lt;=20,"Strong",IF(N235&lt;=35,"Moderate","Stretch")))</f>
        <v>Quick win</v>
      </c>
      <c r="Q235" s="12"/>
      <c r="R235" s="12"/>
      <c r="S235" s="12" t="s">
        <v>1493</v>
      </c>
      <c r="T235" s="12"/>
      <c r="U235" s="12"/>
      <c r="V235" s="14" t="s">
        <v>203</v>
      </c>
      <c r="W235" s="14"/>
      <c r="X235" s="15"/>
      <c r="Y235" s="14"/>
      <c r="Z235" s="24"/>
    </row>
    <row r="236" customFormat="false" ht="23.85" hidden="false" customHeight="false" outlineLevel="0" collapsed="false">
      <c r="A236" s="11" t="n">
        <v>235</v>
      </c>
      <c r="B236" s="11" t="s">
        <v>4</v>
      </c>
      <c r="C236" s="11" t="s">
        <v>1494</v>
      </c>
      <c r="D236" s="11" t="s">
        <v>1495</v>
      </c>
      <c r="E236" s="20" t="s">
        <v>627</v>
      </c>
      <c r="F236" s="11" t="s">
        <v>1199</v>
      </c>
      <c r="G236" s="11" t="s">
        <v>1496</v>
      </c>
      <c r="H236" s="11" t="s">
        <v>196</v>
      </c>
      <c r="I236" s="11" t="s">
        <v>196</v>
      </c>
      <c r="J236" s="11" t="s">
        <v>184</v>
      </c>
      <c r="K236" s="13" t="n">
        <v>0</v>
      </c>
      <c r="L236" s="13" t="n">
        <v>210</v>
      </c>
      <c r="M236" s="13" t="n">
        <f aca="false">K236+L236</f>
        <v>210</v>
      </c>
      <c r="N236" s="19" t="n">
        <v>8</v>
      </c>
      <c r="O236" s="19" t="n">
        <f aca="false">IF(N236&lt;=35,1,0.25)*M236/(N236+10)*IF(ISNUMBER(SEARCH("KD mismatch",U236)),0.25,1)</f>
        <v>11.6666666666667</v>
      </c>
      <c r="P236" s="20" t="str">
        <f aca="false">IF(N236&lt;=10,"Quick win",IF(N236&lt;=20,"Strong",IF(N236&lt;=35,"Moderate","Stretch")))</f>
        <v>Quick win</v>
      </c>
      <c r="Q236" s="12"/>
      <c r="R236" s="12"/>
      <c r="S236" s="12" t="s">
        <v>1243</v>
      </c>
      <c r="T236" s="12"/>
      <c r="U236" s="12"/>
      <c r="V236" s="14" t="s">
        <v>203</v>
      </c>
      <c r="W236" s="14"/>
      <c r="X236" s="15"/>
      <c r="Y236" s="14"/>
      <c r="Z236" s="24"/>
    </row>
    <row r="237" customFormat="false" ht="15" hidden="false" customHeight="false" outlineLevel="0" collapsed="false">
      <c r="A237" s="11" t="n">
        <v>236</v>
      </c>
      <c r="B237" s="11" t="s">
        <v>4</v>
      </c>
      <c r="C237" s="11" t="s">
        <v>1497</v>
      </c>
      <c r="D237" s="11" t="s">
        <v>1498</v>
      </c>
      <c r="E237" s="20" t="s">
        <v>648</v>
      </c>
      <c r="F237" s="11" t="s">
        <v>649</v>
      </c>
      <c r="G237" s="11" t="s">
        <v>1499</v>
      </c>
      <c r="H237" s="11" t="s">
        <v>402</v>
      </c>
      <c r="I237" s="11" t="s">
        <v>402</v>
      </c>
      <c r="J237" s="11" t="s">
        <v>71</v>
      </c>
      <c r="K237" s="13" t="n">
        <v>290</v>
      </c>
      <c r="L237" s="13" t="n">
        <v>0</v>
      </c>
      <c r="M237" s="13" t="n">
        <f aca="false">K237+L237</f>
        <v>290</v>
      </c>
      <c r="N237" s="19" t="n">
        <v>15</v>
      </c>
      <c r="O237" s="19" t="n">
        <f aca="false">IF(N237&lt;=35,1,0.25)*M237/(N237+10)*IF(ISNUMBER(SEARCH("KD mismatch",U237)),0.25,1)</f>
        <v>11.6</v>
      </c>
      <c r="P237" s="20" t="str">
        <f aca="false">IF(N237&lt;=10,"Quick win",IF(N237&lt;=20,"Strong",IF(N237&lt;=35,"Moderate","Stretch")))</f>
        <v>Strong</v>
      </c>
      <c r="Q237" s="12"/>
      <c r="R237" s="12"/>
      <c r="S237" s="12" t="s">
        <v>1500</v>
      </c>
      <c r="T237" s="12" t="s">
        <v>1501</v>
      </c>
      <c r="U237" s="12"/>
      <c r="V237" s="14" t="s">
        <v>203</v>
      </c>
      <c r="W237" s="14"/>
      <c r="X237" s="15"/>
      <c r="Y237" s="14"/>
      <c r="Z237" s="24"/>
    </row>
    <row r="238" customFormat="false" ht="23.85" hidden="false" customHeight="false" outlineLevel="0" collapsed="false">
      <c r="A238" s="11" t="n">
        <v>237</v>
      </c>
      <c r="B238" s="11" t="s">
        <v>4</v>
      </c>
      <c r="C238" s="11" t="s">
        <v>1502</v>
      </c>
      <c r="D238" s="11" t="s">
        <v>1503</v>
      </c>
      <c r="E238" s="20" t="s">
        <v>648</v>
      </c>
      <c r="F238" s="11" t="s">
        <v>850</v>
      </c>
      <c r="G238" s="11" t="s">
        <v>290</v>
      </c>
      <c r="H238" s="11" t="s">
        <v>214</v>
      </c>
      <c r="I238" s="11" t="s">
        <v>290</v>
      </c>
      <c r="J238" s="11" t="s">
        <v>71</v>
      </c>
      <c r="K238" s="13" t="n">
        <v>0</v>
      </c>
      <c r="L238" s="13" t="n">
        <v>390</v>
      </c>
      <c r="M238" s="13" t="n">
        <f aca="false">K238+L238</f>
        <v>390</v>
      </c>
      <c r="N238" s="19" t="n">
        <v>24</v>
      </c>
      <c r="O238" s="19" t="n">
        <f aca="false">IF(N238&lt;=35,1,0.25)*M238/(N238+10)*IF(ISNUMBER(SEARCH("KD mismatch",U238)),0.25,1)</f>
        <v>11.4705882352941</v>
      </c>
      <c r="P238" s="20" t="str">
        <f aca="false">IF(N238&lt;=10,"Quick win",IF(N238&lt;=20,"Strong",IF(N238&lt;=35,"Moderate","Stretch")))</f>
        <v>Moderate</v>
      </c>
      <c r="Q238" s="12"/>
      <c r="R238" s="12"/>
      <c r="S238" s="12" t="s">
        <v>1504</v>
      </c>
      <c r="T238" s="12" t="s">
        <v>927</v>
      </c>
      <c r="U238" s="12"/>
      <c r="V238" s="14" t="s">
        <v>203</v>
      </c>
      <c r="W238" s="14"/>
      <c r="X238" s="15"/>
      <c r="Y238" s="14"/>
      <c r="Z238" s="24"/>
    </row>
    <row r="239" customFormat="false" ht="23.85" hidden="false" customHeight="false" outlineLevel="0" collapsed="false">
      <c r="A239" s="11" t="n">
        <v>238</v>
      </c>
      <c r="B239" s="11" t="s">
        <v>4</v>
      </c>
      <c r="C239" s="11" t="s">
        <v>1505</v>
      </c>
      <c r="D239" s="11" t="s">
        <v>1506</v>
      </c>
      <c r="E239" s="20" t="s">
        <v>648</v>
      </c>
      <c r="F239" s="11" t="s">
        <v>796</v>
      </c>
      <c r="G239" s="11" t="s">
        <v>80</v>
      </c>
      <c r="H239" s="11" t="s">
        <v>247</v>
      </c>
      <c r="I239" s="11" t="s">
        <v>80</v>
      </c>
      <c r="J239" s="11" t="s">
        <v>71</v>
      </c>
      <c r="K239" s="13" t="n">
        <v>320</v>
      </c>
      <c r="L239" s="13" t="n">
        <v>50</v>
      </c>
      <c r="M239" s="13" t="n">
        <f aca="false">K239+L239</f>
        <v>370</v>
      </c>
      <c r="N239" s="19" t="n">
        <v>22.4</v>
      </c>
      <c r="O239" s="19" t="n">
        <f aca="false">IF(N239&lt;=35,1,0.25)*M239/(N239+10)*IF(ISNUMBER(SEARCH("KD mismatch",U239)),0.25,1)</f>
        <v>11.4197530864198</v>
      </c>
      <c r="P239" s="20" t="str">
        <f aca="false">IF(N239&lt;=10,"Quick win",IF(N239&lt;=20,"Strong",IF(N239&lt;=35,"Moderate","Stretch")))</f>
        <v>Moderate</v>
      </c>
      <c r="Q239" s="12"/>
      <c r="R239" s="12"/>
      <c r="S239" s="12" t="s">
        <v>1366</v>
      </c>
      <c r="T239" s="12" t="s">
        <v>657</v>
      </c>
      <c r="U239" s="12"/>
      <c r="V239" s="14" t="s">
        <v>203</v>
      </c>
      <c r="W239" s="14"/>
      <c r="X239" s="15"/>
      <c r="Y239" s="14"/>
      <c r="Z239" s="24"/>
    </row>
    <row r="240" customFormat="false" ht="23.85" hidden="false" customHeight="false" outlineLevel="0" collapsed="false">
      <c r="A240" s="11" t="n">
        <v>239</v>
      </c>
      <c r="B240" s="11" t="s">
        <v>4</v>
      </c>
      <c r="C240" s="11" t="s">
        <v>1507</v>
      </c>
      <c r="D240" s="11" t="s">
        <v>1508</v>
      </c>
      <c r="E240" s="20" t="s">
        <v>648</v>
      </c>
      <c r="F240" s="11" t="s">
        <v>850</v>
      </c>
      <c r="G240" s="11" t="s">
        <v>298</v>
      </c>
      <c r="H240" s="11" t="s">
        <v>214</v>
      </c>
      <c r="I240" s="11" t="s">
        <v>298</v>
      </c>
      <c r="J240" s="11" t="s">
        <v>71</v>
      </c>
      <c r="K240" s="13" t="n">
        <v>250</v>
      </c>
      <c r="L240" s="13" t="n">
        <v>20</v>
      </c>
      <c r="M240" s="13" t="n">
        <f aca="false">K240+L240</f>
        <v>270</v>
      </c>
      <c r="N240" s="19" t="n">
        <v>13.7</v>
      </c>
      <c r="O240" s="19" t="n">
        <f aca="false">IF(N240&lt;=35,1,0.25)*M240/(N240+10)*IF(ISNUMBER(SEARCH("KD mismatch",U240)),0.25,1)</f>
        <v>11.3924050632911</v>
      </c>
      <c r="P240" s="20" t="str">
        <f aca="false">IF(N240&lt;=10,"Quick win",IF(N240&lt;=20,"Strong",IF(N240&lt;=35,"Moderate","Stretch")))</f>
        <v>Strong</v>
      </c>
      <c r="Q240" s="12"/>
      <c r="R240" s="12"/>
      <c r="S240" s="12" t="s">
        <v>1254</v>
      </c>
      <c r="T240" s="12"/>
      <c r="U240" s="12"/>
      <c r="V240" s="14" t="s">
        <v>203</v>
      </c>
      <c r="W240" s="14"/>
      <c r="X240" s="15"/>
      <c r="Y240" s="14"/>
      <c r="Z240" s="24"/>
    </row>
    <row r="241" customFormat="false" ht="23.85" hidden="false" customHeight="false" outlineLevel="0" collapsed="false">
      <c r="A241" s="11" t="n">
        <v>240</v>
      </c>
      <c r="B241" s="11" t="s">
        <v>4</v>
      </c>
      <c r="C241" s="11" t="s">
        <v>1509</v>
      </c>
      <c r="D241" s="11" t="s">
        <v>1510</v>
      </c>
      <c r="E241" s="20" t="s">
        <v>627</v>
      </c>
      <c r="F241" s="11" t="s">
        <v>859</v>
      </c>
      <c r="G241" s="11" t="s">
        <v>232</v>
      </c>
      <c r="H241" s="11" t="s">
        <v>232</v>
      </c>
      <c r="I241" s="11" t="s">
        <v>232</v>
      </c>
      <c r="J241" s="11" t="s">
        <v>183</v>
      </c>
      <c r="K241" s="13" t="n">
        <v>210</v>
      </c>
      <c r="L241" s="13" t="n">
        <v>0</v>
      </c>
      <c r="M241" s="13" t="n">
        <f aca="false">K241+L241</f>
        <v>210</v>
      </c>
      <c r="N241" s="19" t="n">
        <v>9</v>
      </c>
      <c r="O241" s="19" t="n">
        <f aca="false">IF(N241&lt;=35,1,0.25)*M241/(N241+10)*IF(ISNUMBER(SEARCH("KD mismatch",U241)),0.25,1)</f>
        <v>11.0526315789474</v>
      </c>
      <c r="P241" s="20" t="str">
        <f aca="false">IF(N241&lt;=10,"Quick win",IF(N241&lt;=20,"Strong",IF(N241&lt;=35,"Moderate","Stretch")))</f>
        <v>Quick win</v>
      </c>
      <c r="Q241" s="12"/>
      <c r="R241" s="12"/>
      <c r="S241" s="12" t="s">
        <v>1511</v>
      </c>
      <c r="T241" s="12"/>
      <c r="U241" s="12"/>
      <c r="V241" s="14" t="s">
        <v>203</v>
      </c>
      <c r="W241" s="14"/>
      <c r="X241" s="15"/>
      <c r="Y241" s="14"/>
      <c r="Z241" s="24"/>
    </row>
    <row r="242" customFormat="false" ht="23.85" hidden="false" customHeight="false" outlineLevel="0" collapsed="false">
      <c r="A242" s="11" t="n">
        <v>241</v>
      </c>
      <c r="B242" s="11" t="s">
        <v>4</v>
      </c>
      <c r="C242" s="11" t="s">
        <v>1512</v>
      </c>
      <c r="D242" s="11" t="s">
        <v>1513</v>
      </c>
      <c r="E242" s="20" t="s">
        <v>648</v>
      </c>
      <c r="F242" s="11" t="s">
        <v>1308</v>
      </c>
      <c r="G242" s="11" t="s">
        <v>106</v>
      </c>
      <c r="H242" s="11" t="s">
        <v>196</v>
      </c>
      <c r="I242" s="11" t="s">
        <v>106</v>
      </c>
      <c r="J242" s="11" t="s">
        <v>71</v>
      </c>
      <c r="K242" s="13" t="n">
        <v>110</v>
      </c>
      <c r="L242" s="13" t="n">
        <v>0</v>
      </c>
      <c r="M242" s="13" t="n">
        <f aca="false">K242+L242</f>
        <v>110</v>
      </c>
      <c r="N242" s="19" t="n">
        <v>0</v>
      </c>
      <c r="O242" s="19" t="n">
        <f aca="false">IF(N242&lt;=35,1,0.25)*M242/(N242+10)*IF(ISNUMBER(SEARCH("KD mismatch",U242)),0.25,1)</f>
        <v>11</v>
      </c>
      <c r="P242" s="20" t="str">
        <f aca="false">IF(N242&lt;=10,"Quick win",IF(N242&lt;=20,"Strong",IF(N242&lt;=35,"Moderate","Stretch")))</f>
        <v>Quick win</v>
      </c>
      <c r="Q242" s="12"/>
      <c r="R242" s="12"/>
      <c r="S242" s="12" t="s">
        <v>1514</v>
      </c>
      <c r="T242" s="12" t="s">
        <v>674</v>
      </c>
      <c r="U242" s="12"/>
      <c r="V242" s="14" t="s">
        <v>203</v>
      </c>
      <c r="W242" s="14"/>
      <c r="X242" s="15"/>
      <c r="Y242" s="14"/>
      <c r="Z242" s="24"/>
    </row>
    <row r="243" customFormat="false" ht="23.85" hidden="false" customHeight="false" outlineLevel="0" collapsed="false">
      <c r="A243" s="11" t="n">
        <v>242</v>
      </c>
      <c r="B243" s="11" t="s">
        <v>4</v>
      </c>
      <c r="C243" s="11" t="s">
        <v>1515</v>
      </c>
      <c r="D243" s="11" t="s">
        <v>1516</v>
      </c>
      <c r="E243" s="20" t="s">
        <v>648</v>
      </c>
      <c r="F243" s="11" t="s">
        <v>796</v>
      </c>
      <c r="G243" s="11" t="s">
        <v>224</v>
      </c>
      <c r="H243" s="11" t="s">
        <v>224</v>
      </c>
      <c r="I243" s="11" t="s">
        <v>224</v>
      </c>
      <c r="J243" s="11" t="s">
        <v>71</v>
      </c>
      <c r="K243" s="13" t="n">
        <v>210</v>
      </c>
      <c r="L243" s="13" t="n">
        <v>70</v>
      </c>
      <c r="M243" s="13" t="n">
        <f aca="false">K243+L243</f>
        <v>280</v>
      </c>
      <c r="N243" s="19" t="n">
        <v>15.8</v>
      </c>
      <c r="O243" s="19" t="n">
        <f aca="false">IF(N243&lt;=35,1,0.25)*M243/(N243+10)*IF(ISNUMBER(SEARCH("KD mismatch",U243)),0.25,1)</f>
        <v>10.8527131782946</v>
      </c>
      <c r="P243" s="20" t="str">
        <f aca="false">IF(N243&lt;=10,"Quick win",IF(N243&lt;=20,"Strong",IF(N243&lt;=35,"Moderate","Stretch")))</f>
        <v>Strong</v>
      </c>
      <c r="Q243" s="12"/>
      <c r="R243" s="12"/>
      <c r="S243" s="12" t="s">
        <v>1517</v>
      </c>
      <c r="T243" s="12" t="s">
        <v>1518</v>
      </c>
      <c r="U243" s="12"/>
      <c r="V243" s="14" t="s">
        <v>203</v>
      </c>
      <c r="W243" s="14"/>
      <c r="X243" s="15"/>
      <c r="Y243" s="14"/>
      <c r="Z243" s="24"/>
    </row>
    <row r="244" customFormat="false" ht="23.85" hidden="false" customHeight="false" outlineLevel="0" collapsed="false">
      <c r="A244" s="11" t="n">
        <v>243</v>
      </c>
      <c r="B244" s="11" t="s">
        <v>4</v>
      </c>
      <c r="C244" s="11" t="s">
        <v>1519</v>
      </c>
      <c r="D244" s="11" t="s">
        <v>1520</v>
      </c>
      <c r="E244" s="20" t="s">
        <v>627</v>
      </c>
      <c r="F244" s="11" t="s">
        <v>642</v>
      </c>
      <c r="G244" s="11" t="s">
        <v>276</v>
      </c>
      <c r="H244" s="11" t="s">
        <v>276</v>
      </c>
      <c r="I244" s="11" t="s">
        <v>276</v>
      </c>
      <c r="J244" s="11" t="s">
        <v>56</v>
      </c>
      <c r="K244" s="13" t="n">
        <v>260</v>
      </c>
      <c r="L244" s="13" t="n">
        <v>0</v>
      </c>
      <c r="M244" s="13" t="n">
        <f aca="false">K244+L244</f>
        <v>260</v>
      </c>
      <c r="N244" s="19" t="n">
        <v>14</v>
      </c>
      <c r="O244" s="19" t="n">
        <f aca="false">IF(N244&lt;=35,1,0.25)*M244/(N244+10)*IF(ISNUMBER(SEARCH("KD mismatch",U244)),0.25,1)</f>
        <v>10.8333333333333</v>
      </c>
      <c r="P244" s="20" t="str">
        <f aca="false">IF(N244&lt;=10,"Quick win",IF(N244&lt;=20,"Strong",IF(N244&lt;=35,"Moderate","Stretch")))</f>
        <v>Strong</v>
      </c>
      <c r="Q244" s="12"/>
      <c r="R244" s="12"/>
      <c r="S244" s="12" t="s">
        <v>1521</v>
      </c>
      <c r="T244" s="12"/>
      <c r="U244" s="12"/>
      <c r="V244" s="14" t="s">
        <v>203</v>
      </c>
      <c r="W244" s="14"/>
      <c r="X244" s="15"/>
      <c r="Y244" s="14"/>
      <c r="Z244" s="24"/>
    </row>
    <row r="245" customFormat="false" ht="23.85" hidden="false" customHeight="false" outlineLevel="0" collapsed="false">
      <c r="A245" s="11" t="n">
        <v>244</v>
      </c>
      <c r="B245" s="11" t="s">
        <v>4</v>
      </c>
      <c r="C245" s="11" t="s">
        <v>1522</v>
      </c>
      <c r="D245" s="11" t="s">
        <v>1523</v>
      </c>
      <c r="E245" s="20" t="s">
        <v>627</v>
      </c>
      <c r="F245" s="11" t="s">
        <v>642</v>
      </c>
      <c r="G245" s="11" t="s">
        <v>357</v>
      </c>
      <c r="H245" s="11" t="s">
        <v>214</v>
      </c>
      <c r="I245" s="11" t="s">
        <v>357</v>
      </c>
      <c r="J245" s="11" t="s">
        <v>56</v>
      </c>
      <c r="K245" s="13" t="n">
        <v>390</v>
      </c>
      <c r="L245" s="13" t="n">
        <v>0</v>
      </c>
      <c r="M245" s="13" t="n">
        <f aca="false">K245+L245</f>
        <v>390</v>
      </c>
      <c r="N245" s="19" t="n">
        <v>26</v>
      </c>
      <c r="O245" s="19" t="n">
        <f aca="false">IF(N245&lt;=35,1,0.25)*M245/(N245+10)*IF(ISNUMBER(SEARCH("KD mismatch",U245)),0.25,1)</f>
        <v>10.8333333333333</v>
      </c>
      <c r="P245" s="20" t="str">
        <f aca="false">IF(N245&lt;=10,"Quick win",IF(N245&lt;=20,"Strong",IF(N245&lt;=35,"Moderate","Stretch")))</f>
        <v>Moderate</v>
      </c>
      <c r="Q245" s="12"/>
      <c r="R245" s="12"/>
      <c r="S245" s="12" t="s">
        <v>1524</v>
      </c>
      <c r="T245" s="12" t="s">
        <v>931</v>
      </c>
      <c r="U245" s="12"/>
      <c r="V245" s="14" t="s">
        <v>203</v>
      </c>
      <c r="W245" s="14"/>
      <c r="X245" s="15"/>
      <c r="Y245" s="14"/>
      <c r="Z245" s="24"/>
    </row>
    <row r="246" customFormat="false" ht="23.85" hidden="false" customHeight="false" outlineLevel="0" collapsed="false">
      <c r="A246" s="11" t="n">
        <v>245</v>
      </c>
      <c r="B246" s="11" t="s">
        <v>4</v>
      </c>
      <c r="C246" s="11" t="s">
        <v>1525</v>
      </c>
      <c r="D246" s="11" t="s">
        <v>1526</v>
      </c>
      <c r="E246" s="20" t="s">
        <v>648</v>
      </c>
      <c r="F246" s="11" t="s">
        <v>649</v>
      </c>
      <c r="G246" s="11" t="s">
        <v>389</v>
      </c>
      <c r="H246" s="11" t="s">
        <v>389</v>
      </c>
      <c r="I246" s="11" t="s">
        <v>389</v>
      </c>
      <c r="J246" s="11" t="s">
        <v>71</v>
      </c>
      <c r="K246" s="13" t="n">
        <v>320</v>
      </c>
      <c r="L246" s="13" t="n">
        <v>0</v>
      </c>
      <c r="M246" s="13" t="n">
        <f aca="false">K246+L246</f>
        <v>320</v>
      </c>
      <c r="N246" s="19" t="n">
        <v>20</v>
      </c>
      <c r="O246" s="19" t="n">
        <f aca="false">IF(N246&lt;=35,1,0.25)*M246/(N246+10)*IF(ISNUMBER(SEARCH("KD mismatch",U246)),0.25,1)</f>
        <v>10.6666666666667</v>
      </c>
      <c r="P246" s="20" t="str">
        <f aca="false">IF(N246&lt;=10,"Quick win",IF(N246&lt;=20,"Strong",IF(N246&lt;=35,"Moderate","Stretch")))</f>
        <v>Strong</v>
      </c>
      <c r="Q246" s="12"/>
      <c r="R246" s="12"/>
      <c r="S246" s="12" t="s">
        <v>1527</v>
      </c>
      <c r="T246" s="12"/>
      <c r="U246" s="12"/>
      <c r="V246" s="14" t="s">
        <v>203</v>
      </c>
      <c r="W246" s="14"/>
      <c r="X246" s="15"/>
      <c r="Y246" s="14"/>
      <c r="Z246" s="24"/>
    </row>
    <row r="247" customFormat="false" ht="23.85" hidden="false" customHeight="false" outlineLevel="0" collapsed="false">
      <c r="A247" s="11" t="n">
        <v>246</v>
      </c>
      <c r="B247" s="11" t="s">
        <v>4</v>
      </c>
      <c r="C247" s="11" t="s">
        <v>1528</v>
      </c>
      <c r="D247" s="11" t="s">
        <v>1529</v>
      </c>
      <c r="E247" s="20" t="s">
        <v>648</v>
      </c>
      <c r="F247" s="11" t="s">
        <v>850</v>
      </c>
      <c r="G247" s="11" t="s">
        <v>115</v>
      </c>
      <c r="H247" s="11" t="s">
        <v>706</v>
      </c>
      <c r="I247" s="11" t="s">
        <v>115</v>
      </c>
      <c r="J247" s="11" t="s">
        <v>71</v>
      </c>
      <c r="K247" s="13" t="n">
        <v>170</v>
      </c>
      <c r="L247" s="13" t="n">
        <v>0</v>
      </c>
      <c r="M247" s="13" t="n">
        <f aca="false">K247+L247</f>
        <v>170</v>
      </c>
      <c r="N247" s="19" t="n">
        <v>6</v>
      </c>
      <c r="O247" s="19" t="n">
        <f aca="false">IF(N247&lt;=35,1,0.25)*M247/(N247+10)*IF(ISNUMBER(SEARCH("KD mismatch",U247)),0.25,1)</f>
        <v>10.625</v>
      </c>
      <c r="P247" s="20" t="str">
        <f aca="false">IF(N247&lt;=10,"Quick win",IF(N247&lt;=20,"Strong",IF(N247&lt;=35,"Moderate","Stretch")))</f>
        <v>Quick win</v>
      </c>
      <c r="Q247" s="12"/>
      <c r="R247" s="12"/>
      <c r="S247" s="12" t="s">
        <v>1381</v>
      </c>
      <c r="T247" s="12" t="s">
        <v>709</v>
      </c>
      <c r="U247" s="12"/>
      <c r="V247" s="14" t="s">
        <v>203</v>
      </c>
      <c r="W247" s="14"/>
      <c r="X247" s="15"/>
      <c r="Y247" s="14"/>
      <c r="Z247" s="24"/>
    </row>
    <row r="248" customFormat="false" ht="23.85" hidden="false" customHeight="false" outlineLevel="0" collapsed="false">
      <c r="A248" s="11" t="n">
        <v>247</v>
      </c>
      <c r="B248" s="11" t="s">
        <v>4</v>
      </c>
      <c r="C248" s="11" t="s">
        <v>1530</v>
      </c>
      <c r="D248" s="11" t="s">
        <v>1531</v>
      </c>
      <c r="E248" s="20" t="s">
        <v>648</v>
      </c>
      <c r="F248" s="11" t="s">
        <v>1308</v>
      </c>
      <c r="G248" s="11" t="s">
        <v>1532</v>
      </c>
      <c r="H248" s="11" t="s">
        <v>385</v>
      </c>
      <c r="I248" s="11" t="s">
        <v>385</v>
      </c>
      <c r="J248" s="11" t="s">
        <v>71</v>
      </c>
      <c r="K248" s="13" t="n">
        <v>170</v>
      </c>
      <c r="L248" s="13" t="n">
        <v>0</v>
      </c>
      <c r="M248" s="13" t="n">
        <f aca="false">K248+L248</f>
        <v>170</v>
      </c>
      <c r="N248" s="19" t="n">
        <v>6</v>
      </c>
      <c r="O248" s="19" t="n">
        <f aca="false">IF(N248&lt;=35,1,0.25)*M248/(N248+10)*IF(ISNUMBER(SEARCH("KD mismatch",U248)),0.25,1)</f>
        <v>10.625</v>
      </c>
      <c r="P248" s="20" t="str">
        <f aca="false">IF(N248&lt;=10,"Quick win",IF(N248&lt;=20,"Strong",IF(N248&lt;=35,"Moderate","Stretch")))</f>
        <v>Quick win</v>
      </c>
      <c r="Q248" s="12"/>
      <c r="R248" s="12"/>
      <c r="S248" s="12" t="s">
        <v>1533</v>
      </c>
      <c r="T248" s="12"/>
      <c r="U248" s="12"/>
      <c r="V248" s="14" t="s">
        <v>203</v>
      </c>
      <c r="W248" s="14"/>
      <c r="X248" s="15"/>
      <c r="Y248" s="14"/>
      <c r="Z248" s="24"/>
    </row>
    <row r="249" customFormat="false" ht="23.85" hidden="false" customHeight="false" outlineLevel="0" collapsed="false">
      <c r="A249" s="11" t="n">
        <v>248</v>
      </c>
      <c r="B249" s="11" t="s">
        <v>4</v>
      </c>
      <c r="C249" s="11" t="s">
        <v>1534</v>
      </c>
      <c r="D249" s="11" t="s">
        <v>1535</v>
      </c>
      <c r="E249" s="20" t="s">
        <v>648</v>
      </c>
      <c r="F249" s="11" t="s">
        <v>1536</v>
      </c>
      <c r="G249" s="11" t="s">
        <v>106</v>
      </c>
      <c r="H249" s="11" t="s">
        <v>196</v>
      </c>
      <c r="I249" s="11" t="s">
        <v>106</v>
      </c>
      <c r="J249" s="11" t="s">
        <v>71</v>
      </c>
      <c r="K249" s="13" t="n">
        <v>320</v>
      </c>
      <c r="L249" s="13" t="n">
        <v>20</v>
      </c>
      <c r="M249" s="13" t="n">
        <f aca="false">K249+L249</f>
        <v>340</v>
      </c>
      <c r="N249" s="19" t="n">
        <v>22.1</v>
      </c>
      <c r="O249" s="19" t="n">
        <f aca="false">IF(N249&lt;=35,1,0.25)*M249/(N249+10)*IF(ISNUMBER(SEARCH("KD mismatch",U249)),0.25,1)</f>
        <v>10.5919003115265</v>
      </c>
      <c r="P249" s="20" t="str">
        <f aca="false">IF(N249&lt;=10,"Quick win",IF(N249&lt;=20,"Strong",IF(N249&lt;=35,"Moderate","Stretch")))</f>
        <v>Moderate</v>
      </c>
      <c r="Q249" s="12"/>
      <c r="R249" s="12"/>
      <c r="S249" s="12" t="s">
        <v>1537</v>
      </c>
      <c r="T249" s="12" t="s">
        <v>674</v>
      </c>
      <c r="U249" s="12"/>
      <c r="V249" s="14" t="s">
        <v>203</v>
      </c>
      <c r="W249" s="14"/>
      <c r="X249" s="15"/>
      <c r="Y249" s="14"/>
      <c r="Z249" s="24"/>
    </row>
    <row r="250" customFormat="false" ht="23.85" hidden="false" customHeight="false" outlineLevel="0" collapsed="false">
      <c r="A250" s="11" t="n">
        <v>249</v>
      </c>
      <c r="B250" s="11" t="s">
        <v>4</v>
      </c>
      <c r="C250" s="11" t="s">
        <v>1538</v>
      </c>
      <c r="D250" s="11" t="s">
        <v>1539</v>
      </c>
      <c r="E250" s="20" t="s">
        <v>648</v>
      </c>
      <c r="F250" s="11" t="s">
        <v>784</v>
      </c>
      <c r="G250" s="11" t="s">
        <v>282</v>
      </c>
      <c r="H250" s="11" t="s">
        <v>283</v>
      </c>
      <c r="I250" s="11" t="s">
        <v>282</v>
      </c>
      <c r="J250" s="11" t="s">
        <v>143</v>
      </c>
      <c r="K250" s="13" t="n">
        <v>210</v>
      </c>
      <c r="L250" s="13" t="n">
        <v>0</v>
      </c>
      <c r="M250" s="13" t="n">
        <f aca="false">K250+L250</f>
        <v>210</v>
      </c>
      <c r="N250" s="19" t="n">
        <v>10</v>
      </c>
      <c r="O250" s="19" t="n">
        <f aca="false">IF(N250&lt;=35,1,0.25)*M250/(N250+10)*IF(ISNUMBER(SEARCH("KD mismatch",U250)),0.25,1)</f>
        <v>10.5</v>
      </c>
      <c r="P250" s="20" t="str">
        <f aca="false">IF(N250&lt;=10,"Quick win",IF(N250&lt;=20,"Strong",IF(N250&lt;=35,"Moderate","Stretch")))</f>
        <v>Quick win</v>
      </c>
      <c r="Q250" s="12"/>
      <c r="R250" s="12"/>
      <c r="S250" s="12" t="s">
        <v>1540</v>
      </c>
      <c r="T250" s="12" t="s">
        <v>856</v>
      </c>
      <c r="U250" s="12"/>
      <c r="V250" s="14" t="s">
        <v>203</v>
      </c>
      <c r="W250" s="14"/>
      <c r="X250" s="15"/>
      <c r="Y250" s="14"/>
      <c r="Z250" s="24"/>
    </row>
    <row r="251" customFormat="false" ht="23.85" hidden="false" customHeight="false" outlineLevel="0" collapsed="false">
      <c r="A251" s="11" t="n">
        <v>250</v>
      </c>
      <c r="B251" s="11" t="s">
        <v>4</v>
      </c>
      <c r="C251" s="11" t="s">
        <v>1541</v>
      </c>
      <c r="D251" s="11" t="s">
        <v>1542</v>
      </c>
      <c r="E251" s="20" t="s">
        <v>648</v>
      </c>
      <c r="F251" s="11" t="s">
        <v>649</v>
      </c>
      <c r="G251" s="11" t="s">
        <v>770</v>
      </c>
      <c r="H251" s="11" t="s">
        <v>232</v>
      </c>
      <c r="I251" s="11" t="s">
        <v>232</v>
      </c>
      <c r="J251" s="11" t="s">
        <v>71</v>
      </c>
      <c r="K251" s="13" t="n">
        <v>210</v>
      </c>
      <c r="L251" s="13" t="n">
        <v>0</v>
      </c>
      <c r="M251" s="13" t="n">
        <f aca="false">K251+L251</f>
        <v>210</v>
      </c>
      <c r="N251" s="19" t="n">
        <v>10</v>
      </c>
      <c r="O251" s="19" t="n">
        <f aca="false">IF(N251&lt;=35,1,0.25)*M251/(N251+10)*IF(ISNUMBER(SEARCH("KD mismatch",U251)),0.25,1)</f>
        <v>10.5</v>
      </c>
      <c r="P251" s="20" t="str">
        <f aca="false">IF(N251&lt;=10,"Quick win",IF(N251&lt;=20,"Strong",IF(N251&lt;=35,"Moderate","Stretch")))</f>
        <v>Quick win</v>
      </c>
      <c r="Q251" s="12"/>
      <c r="R251" s="12"/>
      <c r="S251" s="12" t="s">
        <v>1543</v>
      </c>
      <c r="T251" s="12"/>
      <c r="U251" s="12"/>
      <c r="V251" s="14" t="s">
        <v>203</v>
      </c>
      <c r="W251" s="14"/>
      <c r="X251" s="15"/>
      <c r="Y251" s="14"/>
      <c r="Z251" s="24"/>
    </row>
    <row r="252" customFormat="false" ht="23.85" hidden="false" customHeight="false" outlineLevel="0" collapsed="false">
      <c r="A252" s="11" t="n">
        <v>251</v>
      </c>
      <c r="B252" s="11" t="s">
        <v>4</v>
      </c>
      <c r="C252" s="11" t="s">
        <v>1544</v>
      </c>
      <c r="D252" s="11" t="s">
        <v>1545</v>
      </c>
      <c r="E252" s="20" t="s">
        <v>648</v>
      </c>
      <c r="F252" s="11" t="s">
        <v>649</v>
      </c>
      <c r="G252" s="11" t="s">
        <v>1472</v>
      </c>
      <c r="H252" s="11" t="s">
        <v>1473</v>
      </c>
      <c r="I252" s="11" t="s">
        <v>198</v>
      </c>
      <c r="J252" s="11" t="s">
        <v>71</v>
      </c>
      <c r="K252" s="13" t="n">
        <v>0</v>
      </c>
      <c r="L252" s="13" t="n">
        <v>290</v>
      </c>
      <c r="M252" s="13" t="n">
        <f aca="false">K252+L252</f>
        <v>290</v>
      </c>
      <c r="N252" s="19" t="n">
        <v>18</v>
      </c>
      <c r="O252" s="19" t="n">
        <f aca="false">IF(N252&lt;=35,1,0.25)*M252/(N252+10)*IF(ISNUMBER(SEARCH("KD mismatch",U252)),0.25,1)</f>
        <v>10.3571428571429</v>
      </c>
      <c r="P252" s="20" t="str">
        <f aca="false">IF(N252&lt;=10,"Quick win",IF(N252&lt;=20,"Strong",IF(N252&lt;=35,"Moderate","Stretch")))</f>
        <v>Strong</v>
      </c>
      <c r="Q252" s="12"/>
      <c r="R252" s="12"/>
      <c r="S252" s="12" t="s">
        <v>1546</v>
      </c>
      <c r="T252" s="12"/>
      <c r="U252" s="12"/>
      <c r="V252" s="14" t="s">
        <v>203</v>
      </c>
      <c r="W252" s="14"/>
      <c r="X252" s="15"/>
      <c r="Y252" s="14"/>
      <c r="Z252" s="24"/>
    </row>
    <row r="253" customFormat="false" ht="23.85" hidden="false" customHeight="false" outlineLevel="0" collapsed="false">
      <c r="A253" s="11" t="n">
        <v>252</v>
      </c>
      <c r="B253" s="11" t="s">
        <v>4</v>
      </c>
      <c r="C253" s="11" t="s">
        <v>1547</v>
      </c>
      <c r="D253" s="11" t="s">
        <v>1548</v>
      </c>
      <c r="E253" s="20" t="s">
        <v>648</v>
      </c>
      <c r="F253" s="11" t="s">
        <v>700</v>
      </c>
      <c r="G253" s="11" t="s">
        <v>333</v>
      </c>
      <c r="H253" s="11" t="s">
        <v>334</v>
      </c>
      <c r="I253" s="11" t="s">
        <v>333</v>
      </c>
      <c r="J253" s="11" t="s">
        <v>143</v>
      </c>
      <c r="K253" s="13" t="n">
        <v>90</v>
      </c>
      <c r="L253" s="13" t="n">
        <v>70</v>
      </c>
      <c r="M253" s="13" t="n">
        <f aca="false">K253+L253</f>
        <v>160</v>
      </c>
      <c r="N253" s="19" t="n">
        <v>5.6</v>
      </c>
      <c r="O253" s="19" t="n">
        <f aca="false">IF(N253&lt;=35,1,0.25)*M253/(N253+10)*IF(ISNUMBER(SEARCH("KD mismatch",U253)),0.25,1)</f>
        <v>10.2564102564103</v>
      </c>
      <c r="P253" s="20" t="str">
        <f aca="false">IF(N253&lt;=10,"Quick win",IF(N253&lt;=20,"Strong",IF(N253&lt;=35,"Moderate","Stretch")))</f>
        <v>Quick win</v>
      </c>
      <c r="Q253" s="12"/>
      <c r="R253" s="12"/>
      <c r="S253" s="12" t="s">
        <v>1490</v>
      </c>
      <c r="T253" s="12"/>
      <c r="U253" s="12"/>
      <c r="V253" s="14" t="s">
        <v>203</v>
      </c>
      <c r="W253" s="14"/>
      <c r="X253" s="15"/>
      <c r="Y253" s="14"/>
      <c r="Z253" s="24"/>
    </row>
    <row r="254" customFormat="false" ht="23.85" hidden="false" customHeight="false" outlineLevel="0" collapsed="false">
      <c r="A254" s="11" t="n">
        <v>253</v>
      </c>
      <c r="B254" s="11" t="s">
        <v>4</v>
      </c>
      <c r="C254" s="11" t="s">
        <v>1549</v>
      </c>
      <c r="D254" s="11" t="s">
        <v>1550</v>
      </c>
      <c r="E254" s="20" t="s">
        <v>648</v>
      </c>
      <c r="F254" s="11" t="s">
        <v>700</v>
      </c>
      <c r="G254" s="11" t="s">
        <v>409</v>
      </c>
      <c r="H254" s="11" t="s">
        <v>214</v>
      </c>
      <c r="I254" s="11" t="s">
        <v>409</v>
      </c>
      <c r="J254" s="11" t="s">
        <v>143</v>
      </c>
      <c r="K254" s="13" t="n">
        <v>220</v>
      </c>
      <c r="L254" s="13" t="n">
        <v>110</v>
      </c>
      <c r="M254" s="13" t="n">
        <f aca="false">K254+L254</f>
        <v>330</v>
      </c>
      <c r="N254" s="19" t="n">
        <v>23</v>
      </c>
      <c r="O254" s="19" t="n">
        <f aca="false">IF(N254&lt;=35,1,0.25)*M254/(N254+10)*IF(ISNUMBER(SEARCH("KD mismatch",U254)),0.25,1)</f>
        <v>10</v>
      </c>
      <c r="P254" s="20" t="str">
        <f aca="false">IF(N254&lt;=10,"Quick win",IF(N254&lt;=20,"Strong",IF(N254&lt;=35,"Moderate","Stretch")))</f>
        <v>Moderate</v>
      </c>
      <c r="Q254" s="12"/>
      <c r="R254" s="12"/>
      <c r="S254" s="12" t="s">
        <v>1551</v>
      </c>
      <c r="T254" s="12"/>
      <c r="U254" s="12"/>
      <c r="V254" s="14" t="s">
        <v>203</v>
      </c>
      <c r="W254" s="14"/>
      <c r="X254" s="15"/>
      <c r="Y254" s="14"/>
      <c r="Z254" s="24"/>
    </row>
    <row r="255" customFormat="false" ht="23.85" hidden="false" customHeight="false" outlineLevel="0" collapsed="false">
      <c r="A255" s="11" t="n">
        <v>254</v>
      </c>
      <c r="B255" s="11" t="s">
        <v>4</v>
      </c>
      <c r="C255" s="11" t="s">
        <v>1552</v>
      </c>
      <c r="D255" s="11" t="s">
        <v>1553</v>
      </c>
      <c r="E255" s="20" t="s">
        <v>648</v>
      </c>
      <c r="F255" s="11" t="s">
        <v>692</v>
      </c>
      <c r="G255" s="11" t="s">
        <v>55</v>
      </c>
      <c r="H255" s="11" t="s">
        <v>241</v>
      </c>
      <c r="I255" s="11" t="s">
        <v>55</v>
      </c>
      <c r="J255" s="11" t="s">
        <v>71</v>
      </c>
      <c r="K255" s="13" t="n">
        <v>140</v>
      </c>
      <c r="L255" s="13" t="n">
        <v>0</v>
      </c>
      <c r="M255" s="13" t="n">
        <f aca="false">K255+L255</f>
        <v>140</v>
      </c>
      <c r="N255" s="19" t="n">
        <v>4</v>
      </c>
      <c r="O255" s="19" t="n">
        <f aca="false">IF(N255&lt;=35,1,0.25)*M255/(N255+10)*IF(ISNUMBER(SEARCH("KD mismatch",U255)),0.25,1)</f>
        <v>10</v>
      </c>
      <c r="P255" s="20" t="str">
        <f aca="false">IF(N255&lt;=10,"Quick win",IF(N255&lt;=20,"Strong",IF(N255&lt;=35,"Moderate","Stretch")))</f>
        <v>Quick win</v>
      </c>
      <c r="Q255" s="12"/>
      <c r="R255" s="12"/>
      <c r="S255" s="12" t="s">
        <v>1554</v>
      </c>
      <c r="T255" s="12" t="s">
        <v>645</v>
      </c>
      <c r="U255" s="12"/>
      <c r="V255" s="14" t="s">
        <v>203</v>
      </c>
      <c r="W255" s="14"/>
      <c r="X255" s="15"/>
      <c r="Y255" s="14"/>
      <c r="Z255" s="24"/>
    </row>
    <row r="256" customFormat="false" ht="23.85" hidden="false" customHeight="false" outlineLevel="0" collapsed="false">
      <c r="A256" s="11" t="n">
        <v>255</v>
      </c>
      <c r="B256" s="11" t="s">
        <v>4</v>
      </c>
      <c r="C256" s="11" t="s">
        <v>1555</v>
      </c>
      <c r="D256" s="11" t="s">
        <v>1556</v>
      </c>
      <c r="E256" s="20" t="s">
        <v>627</v>
      </c>
      <c r="F256" s="11" t="s">
        <v>738</v>
      </c>
      <c r="G256" s="11" t="s">
        <v>241</v>
      </c>
      <c r="H256" s="11" t="s">
        <v>241</v>
      </c>
      <c r="I256" s="11" t="s">
        <v>241</v>
      </c>
      <c r="J256" s="11" t="s">
        <v>183</v>
      </c>
      <c r="K256" s="13" t="n">
        <v>210</v>
      </c>
      <c r="L256" s="13" t="n">
        <v>0</v>
      </c>
      <c r="M256" s="13" t="n">
        <f aca="false">K256+L256</f>
        <v>210</v>
      </c>
      <c r="N256" s="19" t="n">
        <v>11</v>
      </c>
      <c r="O256" s="19" t="n">
        <f aca="false">IF(N256&lt;=35,1,0.25)*M256/(N256+10)*IF(ISNUMBER(SEARCH("KD mismatch",U256)),0.25,1)</f>
        <v>10</v>
      </c>
      <c r="P256" s="20" t="str">
        <f aca="false">IF(N256&lt;=10,"Quick win",IF(N256&lt;=20,"Strong",IF(N256&lt;=35,"Moderate","Stretch")))</f>
        <v>Strong</v>
      </c>
      <c r="Q256" s="12"/>
      <c r="R256" s="12"/>
      <c r="S256" s="12" t="s">
        <v>1557</v>
      </c>
      <c r="T256" s="12"/>
      <c r="U256" s="12"/>
      <c r="V256" s="14" t="s">
        <v>203</v>
      </c>
      <c r="W256" s="14"/>
      <c r="X256" s="15"/>
      <c r="Y256" s="14"/>
      <c r="Z256" s="24"/>
    </row>
    <row r="257" customFormat="false" ht="23.85" hidden="false" customHeight="false" outlineLevel="0" collapsed="false">
      <c r="A257" s="11" t="n">
        <v>256</v>
      </c>
      <c r="B257" s="11" t="s">
        <v>4</v>
      </c>
      <c r="C257" s="11" t="s">
        <v>1558</v>
      </c>
      <c r="D257" s="11" t="s">
        <v>1559</v>
      </c>
      <c r="E257" s="20" t="s">
        <v>648</v>
      </c>
      <c r="F257" s="11" t="s">
        <v>1560</v>
      </c>
      <c r="G257" s="11" t="s">
        <v>324</v>
      </c>
      <c r="H257" s="11" t="s">
        <v>999</v>
      </c>
      <c r="I257" s="11" t="s">
        <v>324</v>
      </c>
      <c r="J257" s="11" t="s">
        <v>71</v>
      </c>
      <c r="K257" s="13" t="n">
        <v>170</v>
      </c>
      <c r="L257" s="13" t="n">
        <v>0</v>
      </c>
      <c r="M257" s="13" t="n">
        <f aca="false">K257+L257</f>
        <v>170</v>
      </c>
      <c r="N257" s="19" t="n">
        <v>7</v>
      </c>
      <c r="O257" s="19" t="n">
        <f aca="false">IF(N257&lt;=35,1,0.25)*M257/(N257+10)*IF(ISNUMBER(SEARCH("KD mismatch",U257)),0.25,1)</f>
        <v>10</v>
      </c>
      <c r="P257" s="20" t="str">
        <f aca="false">IF(N257&lt;=10,"Quick win",IF(N257&lt;=20,"Strong",IF(N257&lt;=35,"Moderate","Stretch")))</f>
        <v>Quick win</v>
      </c>
      <c r="Q257" s="12"/>
      <c r="R257" s="12"/>
      <c r="S257" s="12" t="s">
        <v>1561</v>
      </c>
      <c r="T257" s="12"/>
      <c r="U257" s="12"/>
      <c r="V257" s="14" t="s">
        <v>203</v>
      </c>
      <c r="W257" s="14"/>
      <c r="X257" s="15"/>
      <c r="Y257" s="14"/>
      <c r="Z257" s="24"/>
    </row>
    <row r="258" customFormat="false" ht="23.85" hidden="false" customHeight="false" outlineLevel="0" collapsed="false">
      <c r="A258" s="11" t="n">
        <v>257</v>
      </c>
      <c r="B258" s="11" t="s">
        <v>4</v>
      </c>
      <c r="C258" s="11" t="s">
        <v>1562</v>
      </c>
      <c r="D258" s="11" t="s">
        <v>1563</v>
      </c>
      <c r="E258" s="20" t="s">
        <v>648</v>
      </c>
      <c r="F258" s="11" t="s">
        <v>796</v>
      </c>
      <c r="G258" s="11" t="s">
        <v>327</v>
      </c>
      <c r="H258" s="11" t="s">
        <v>822</v>
      </c>
      <c r="I258" s="11" t="s">
        <v>327</v>
      </c>
      <c r="J258" s="11" t="s">
        <v>71</v>
      </c>
      <c r="K258" s="13" t="n">
        <v>170</v>
      </c>
      <c r="L258" s="13" t="n">
        <v>0</v>
      </c>
      <c r="M258" s="13" t="n">
        <f aca="false">K258+L258</f>
        <v>170</v>
      </c>
      <c r="N258" s="19" t="n">
        <v>7</v>
      </c>
      <c r="O258" s="19" t="n">
        <f aca="false">IF(N258&lt;=35,1,0.25)*M258/(N258+10)*IF(ISNUMBER(SEARCH("KD mismatch",U258)),0.25,1)</f>
        <v>10</v>
      </c>
      <c r="P258" s="20" t="str">
        <f aca="false">IF(N258&lt;=10,"Quick win",IF(N258&lt;=20,"Strong",IF(N258&lt;=35,"Moderate","Stretch")))</f>
        <v>Quick win</v>
      </c>
      <c r="Q258" s="12"/>
      <c r="R258" s="12"/>
      <c r="S258" s="12" t="s">
        <v>1564</v>
      </c>
      <c r="T258" s="12"/>
      <c r="U258" s="12"/>
      <c r="V258" s="14" t="s">
        <v>203</v>
      </c>
      <c r="W258" s="14"/>
      <c r="X258" s="15"/>
      <c r="Y258" s="14"/>
      <c r="Z258" s="24"/>
    </row>
    <row r="259" customFormat="false" ht="23.85" hidden="false" customHeight="false" outlineLevel="0" collapsed="false">
      <c r="A259" s="11" t="n">
        <v>258</v>
      </c>
      <c r="B259" s="11" t="s">
        <v>4</v>
      </c>
      <c r="C259" s="11" t="s">
        <v>1565</v>
      </c>
      <c r="D259" s="11" t="s">
        <v>1566</v>
      </c>
      <c r="E259" s="20" t="s">
        <v>627</v>
      </c>
      <c r="F259" s="11" t="s">
        <v>859</v>
      </c>
      <c r="G259" s="11" t="s">
        <v>241</v>
      </c>
      <c r="H259" s="11" t="s">
        <v>241</v>
      </c>
      <c r="I259" s="11" t="s">
        <v>241</v>
      </c>
      <c r="J259" s="11" t="s">
        <v>183</v>
      </c>
      <c r="K259" s="13" t="n">
        <v>30</v>
      </c>
      <c r="L259" s="13" t="n">
        <v>210</v>
      </c>
      <c r="M259" s="13" t="n">
        <f aca="false">K259+L259</f>
        <v>240</v>
      </c>
      <c r="N259" s="19" t="n">
        <v>14</v>
      </c>
      <c r="O259" s="19" t="n">
        <f aca="false">IF(N259&lt;=35,1,0.25)*M259/(N259+10)*IF(ISNUMBER(SEARCH("KD mismatch",U259)),0.25,1)</f>
        <v>10</v>
      </c>
      <c r="P259" s="20" t="str">
        <f aca="false">IF(N259&lt;=10,"Quick win",IF(N259&lt;=20,"Strong",IF(N259&lt;=35,"Moderate","Stretch")))</f>
        <v>Strong</v>
      </c>
      <c r="Q259" s="12"/>
      <c r="R259" s="12"/>
      <c r="S259" s="12" t="s">
        <v>1567</v>
      </c>
      <c r="T259" s="12"/>
      <c r="U259" s="12"/>
      <c r="V259" s="14" t="s">
        <v>203</v>
      </c>
      <c r="W259" s="14"/>
      <c r="X259" s="15"/>
      <c r="Y259" s="14"/>
      <c r="Z259" s="24"/>
    </row>
    <row r="260" customFormat="false" ht="23.85" hidden="false" customHeight="false" outlineLevel="0" collapsed="false">
      <c r="A260" s="11" t="n">
        <v>259</v>
      </c>
      <c r="B260" s="11" t="s">
        <v>4</v>
      </c>
      <c r="C260" s="11" t="s">
        <v>1568</v>
      </c>
      <c r="D260" s="11" t="s">
        <v>1569</v>
      </c>
      <c r="E260" s="20" t="s">
        <v>648</v>
      </c>
      <c r="F260" s="11" t="s">
        <v>649</v>
      </c>
      <c r="G260" s="11" t="s">
        <v>351</v>
      </c>
      <c r="H260" s="11" t="s">
        <v>761</v>
      </c>
      <c r="I260" s="11" t="s">
        <v>351</v>
      </c>
      <c r="J260" s="11" t="s">
        <v>71</v>
      </c>
      <c r="K260" s="13" t="n">
        <v>170</v>
      </c>
      <c r="L260" s="13" t="n">
        <v>0</v>
      </c>
      <c r="M260" s="13" t="n">
        <f aca="false">K260+L260</f>
        <v>170</v>
      </c>
      <c r="N260" s="19" t="n">
        <v>8</v>
      </c>
      <c r="O260" s="19" t="n">
        <f aca="false">IF(N260&lt;=35,1,0.25)*M260/(N260+10)*IF(ISNUMBER(SEARCH("KD mismatch",U260)),0.25,1)</f>
        <v>9.44444444444445</v>
      </c>
      <c r="P260" s="20" t="str">
        <f aca="false">IF(N260&lt;=10,"Quick win",IF(N260&lt;=20,"Strong",IF(N260&lt;=35,"Moderate","Stretch")))</f>
        <v>Quick win</v>
      </c>
      <c r="Q260" s="12"/>
      <c r="R260" s="12"/>
      <c r="S260" s="12" t="s">
        <v>1570</v>
      </c>
      <c r="T260" s="12"/>
      <c r="U260" s="12"/>
      <c r="V260" s="14" t="s">
        <v>203</v>
      </c>
      <c r="W260" s="14"/>
      <c r="X260" s="15"/>
      <c r="Y260" s="14"/>
      <c r="Z260" s="24"/>
    </row>
    <row r="261" customFormat="false" ht="23.85" hidden="false" customHeight="false" outlineLevel="0" collapsed="false">
      <c r="A261" s="11" t="n">
        <v>260</v>
      </c>
      <c r="B261" s="11" t="s">
        <v>4</v>
      </c>
      <c r="C261" s="11" t="s">
        <v>1571</v>
      </c>
      <c r="D261" s="11" t="s">
        <v>1572</v>
      </c>
      <c r="E261" s="20" t="s">
        <v>627</v>
      </c>
      <c r="F261" s="11" t="s">
        <v>642</v>
      </c>
      <c r="G261" s="11" t="s">
        <v>1573</v>
      </c>
      <c r="H261" s="11" t="s">
        <v>232</v>
      </c>
      <c r="I261" s="11" t="s">
        <v>232</v>
      </c>
      <c r="J261" s="11" t="s">
        <v>56</v>
      </c>
      <c r="K261" s="13" t="n">
        <v>150</v>
      </c>
      <c r="L261" s="13" t="n">
        <v>0</v>
      </c>
      <c r="M261" s="13" t="n">
        <f aca="false">K261+L261</f>
        <v>150</v>
      </c>
      <c r="N261" s="19" t="n">
        <v>6</v>
      </c>
      <c r="O261" s="19" t="n">
        <f aca="false">IF(N261&lt;=35,1,0.25)*M261/(N261+10)*IF(ISNUMBER(SEARCH("KD mismatch",U261)),0.25,1)</f>
        <v>9.375</v>
      </c>
      <c r="P261" s="20" t="str">
        <f aca="false">IF(N261&lt;=10,"Quick win",IF(N261&lt;=20,"Strong",IF(N261&lt;=35,"Moderate","Stretch")))</f>
        <v>Quick win</v>
      </c>
      <c r="Q261" s="12"/>
      <c r="R261" s="12"/>
      <c r="S261" s="12" t="s">
        <v>882</v>
      </c>
      <c r="T261" s="12"/>
      <c r="U261" s="12"/>
      <c r="V261" s="14" t="s">
        <v>203</v>
      </c>
      <c r="W261" s="14"/>
      <c r="X261" s="15"/>
      <c r="Y261" s="14"/>
      <c r="Z261" s="24"/>
    </row>
    <row r="262" customFormat="false" ht="23.85" hidden="false" customHeight="false" outlineLevel="0" collapsed="false">
      <c r="A262" s="11" t="n">
        <v>261</v>
      </c>
      <c r="B262" s="11" t="s">
        <v>4</v>
      </c>
      <c r="C262" s="11" t="s">
        <v>1574</v>
      </c>
      <c r="D262" s="11" t="s">
        <v>1575</v>
      </c>
      <c r="E262" s="20" t="s">
        <v>627</v>
      </c>
      <c r="F262" s="11" t="s">
        <v>881</v>
      </c>
      <c r="G262" s="11" t="s">
        <v>367</v>
      </c>
      <c r="H262" s="11" t="s">
        <v>367</v>
      </c>
      <c r="I262" s="11" t="s">
        <v>367</v>
      </c>
      <c r="J262" s="11" t="s">
        <v>182</v>
      </c>
      <c r="K262" s="13" t="n">
        <v>0</v>
      </c>
      <c r="L262" s="13" t="n">
        <v>140</v>
      </c>
      <c r="M262" s="13" t="n">
        <f aca="false">K262+L262</f>
        <v>140</v>
      </c>
      <c r="N262" s="19" t="n">
        <v>5</v>
      </c>
      <c r="O262" s="19" t="n">
        <f aca="false">IF(N262&lt;=35,1,0.25)*M262/(N262+10)*IF(ISNUMBER(SEARCH("KD mismatch",U262)),0.25,1)</f>
        <v>9.33333333333333</v>
      </c>
      <c r="P262" s="20" t="str">
        <f aca="false">IF(N262&lt;=10,"Quick win",IF(N262&lt;=20,"Strong",IF(N262&lt;=35,"Moderate","Stretch")))</f>
        <v>Quick win</v>
      </c>
      <c r="Q262" s="12"/>
      <c r="R262" s="12"/>
      <c r="S262" s="12" t="s">
        <v>1576</v>
      </c>
      <c r="T262" s="12"/>
      <c r="U262" s="12"/>
      <c r="V262" s="14" t="s">
        <v>203</v>
      </c>
      <c r="W262" s="14"/>
      <c r="X262" s="15"/>
      <c r="Y262" s="14"/>
      <c r="Z262" s="24"/>
    </row>
    <row r="263" customFormat="false" ht="23.85" hidden="false" customHeight="false" outlineLevel="0" collapsed="false">
      <c r="A263" s="11" t="n">
        <v>262</v>
      </c>
      <c r="B263" s="11" t="s">
        <v>4</v>
      </c>
      <c r="C263" s="11" t="s">
        <v>1577</v>
      </c>
      <c r="D263" s="11" t="s">
        <v>1578</v>
      </c>
      <c r="E263" s="20" t="s">
        <v>627</v>
      </c>
      <c r="F263" s="11" t="s">
        <v>642</v>
      </c>
      <c r="G263" s="11" t="s">
        <v>1579</v>
      </c>
      <c r="H263" s="11" t="s">
        <v>1580</v>
      </c>
      <c r="I263" s="11" t="s">
        <v>399</v>
      </c>
      <c r="J263" s="11" t="s">
        <v>56</v>
      </c>
      <c r="K263" s="13" t="n">
        <v>140</v>
      </c>
      <c r="L263" s="13" t="n">
        <v>0</v>
      </c>
      <c r="M263" s="13" t="n">
        <f aca="false">K263+L263</f>
        <v>140</v>
      </c>
      <c r="N263" s="19" t="n">
        <v>5</v>
      </c>
      <c r="O263" s="19" t="n">
        <f aca="false">IF(N263&lt;=35,1,0.25)*M263/(N263+10)*IF(ISNUMBER(SEARCH("KD mismatch",U263)),0.25,1)</f>
        <v>9.33333333333333</v>
      </c>
      <c r="P263" s="20" t="str">
        <f aca="false">IF(N263&lt;=10,"Quick win",IF(N263&lt;=20,"Strong",IF(N263&lt;=35,"Moderate","Stretch")))</f>
        <v>Quick win</v>
      </c>
      <c r="Q263" s="12"/>
      <c r="R263" s="12"/>
      <c r="S263" s="12" t="s">
        <v>1581</v>
      </c>
      <c r="T263" s="12"/>
      <c r="U263" s="12"/>
      <c r="V263" s="14" t="s">
        <v>203</v>
      </c>
      <c r="W263" s="14"/>
      <c r="X263" s="15"/>
      <c r="Y263" s="14"/>
      <c r="Z263" s="24"/>
    </row>
    <row r="264" customFormat="false" ht="23.85" hidden="false" customHeight="false" outlineLevel="0" collapsed="false">
      <c r="A264" s="11" t="n">
        <v>263</v>
      </c>
      <c r="B264" s="11" t="s">
        <v>4</v>
      </c>
      <c r="C264" s="11" t="s">
        <v>1582</v>
      </c>
      <c r="D264" s="11" t="s">
        <v>1583</v>
      </c>
      <c r="E264" s="20" t="s">
        <v>648</v>
      </c>
      <c r="F264" s="11" t="s">
        <v>796</v>
      </c>
      <c r="G264" s="11" t="s">
        <v>204</v>
      </c>
      <c r="H264" s="11" t="s">
        <v>204</v>
      </c>
      <c r="I264" s="11" t="s">
        <v>204</v>
      </c>
      <c r="J264" s="11" t="s">
        <v>71</v>
      </c>
      <c r="K264" s="13" t="n">
        <v>210</v>
      </c>
      <c r="L264" s="13" t="n">
        <v>40</v>
      </c>
      <c r="M264" s="13" t="n">
        <f aca="false">K264+L264</f>
        <v>250</v>
      </c>
      <c r="N264" s="19" t="n">
        <v>17.1</v>
      </c>
      <c r="O264" s="19" t="n">
        <f aca="false">IF(N264&lt;=35,1,0.25)*M264/(N264+10)*IF(ISNUMBER(SEARCH("KD mismatch",U264)),0.25,1)</f>
        <v>9.22509225092251</v>
      </c>
      <c r="P264" s="20" t="str">
        <f aca="false">IF(N264&lt;=10,"Quick win",IF(N264&lt;=20,"Strong",IF(N264&lt;=35,"Moderate","Stretch")))</f>
        <v>Strong</v>
      </c>
      <c r="Q264" s="12"/>
      <c r="R264" s="12"/>
      <c r="S264" s="12" t="s">
        <v>1213</v>
      </c>
      <c r="T264" s="12"/>
      <c r="U264" s="12"/>
      <c r="V264" s="14" t="s">
        <v>203</v>
      </c>
      <c r="W264" s="14"/>
      <c r="X264" s="15"/>
      <c r="Y264" s="14"/>
      <c r="Z264" s="24"/>
    </row>
    <row r="265" customFormat="false" ht="23.85" hidden="false" customHeight="false" outlineLevel="0" collapsed="false">
      <c r="A265" s="11" t="n">
        <v>264</v>
      </c>
      <c r="B265" s="11" t="s">
        <v>4</v>
      </c>
      <c r="C265" s="11" t="s">
        <v>1584</v>
      </c>
      <c r="D265" s="11" t="s">
        <v>1585</v>
      </c>
      <c r="E265" s="20" t="s">
        <v>648</v>
      </c>
      <c r="F265" s="11" t="s">
        <v>1308</v>
      </c>
      <c r="G265" s="11" t="s">
        <v>276</v>
      </c>
      <c r="H265" s="11" t="s">
        <v>276</v>
      </c>
      <c r="I265" s="11" t="s">
        <v>276</v>
      </c>
      <c r="J265" s="11" t="s">
        <v>71</v>
      </c>
      <c r="K265" s="13" t="n">
        <v>70</v>
      </c>
      <c r="L265" s="13" t="n">
        <v>70</v>
      </c>
      <c r="M265" s="13" t="n">
        <f aca="false">K265+L265</f>
        <v>140</v>
      </c>
      <c r="N265" s="19" t="n">
        <v>5.5</v>
      </c>
      <c r="O265" s="19" t="n">
        <f aca="false">IF(N265&lt;=35,1,0.25)*M265/(N265+10)*IF(ISNUMBER(SEARCH("KD mismatch",U265)),0.25,1)</f>
        <v>9.03225806451613</v>
      </c>
      <c r="P265" s="20" t="str">
        <f aca="false">IF(N265&lt;=10,"Quick win",IF(N265&lt;=20,"Strong",IF(N265&lt;=35,"Moderate","Stretch")))</f>
        <v>Quick win</v>
      </c>
      <c r="Q265" s="12"/>
      <c r="R265" s="12"/>
      <c r="S265" s="12" t="s">
        <v>735</v>
      </c>
      <c r="T265" s="12"/>
      <c r="U265" s="12"/>
      <c r="V265" s="14" t="s">
        <v>203</v>
      </c>
      <c r="W265" s="14"/>
      <c r="X265" s="15"/>
      <c r="Y265" s="14"/>
      <c r="Z265" s="24"/>
    </row>
    <row r="266" customFormat="false" ht="23.85" hidden="false" customHeight="false" outlineLevel="0" collapsed="false">
      <c r="A266" s="11" t="n">
        <v>265</v>
      </c>
      <c r="B266" s="11" t="s">
        <v>4</v>
      </c>
      <c r="C266" s="11" t="s">
        <v>1586</v>
      </c>
      <c r="D266" s="11" t="s">
        <v>1587</v>
      </c>
      <c r="E266" s="20" t="s">
        <v>627</v>
      </c>
      <c r="F266" s="11" t="s">
        <v>881</v>
      </c>
      <c r="G266" s="11" t="s">
        <v>228</v>
      </c>
      <c r="H266" s="11" t="s">
        <v>228</v>
      </c>
      <c r="I266" s="11" t="s">
        <v>228</v>
      </c>
      <c r="J266" s="11" t="s">
        <v>182</v>
      </c>
      <c r="K266" s="13" t="n">
        <v>110</v>
      </c>
      <c r="L266" s="13" t="n">
        <v>90</v>
      </c>
      <c r="M266" s="13" t="n">
        <f aca="false">K266+L266</f>
        <v>200</v>
      </c>
      <c r="N266" s="19" t="n">
        <v>12.3</v>
      </c>
      <c r="O266" s="19" t="n">
        <f aca="false">IF(N266&lt;=35,1,0.25)*M266/(N266+10)*IF(ISNUMBER(SEARCH("KD mismatch",U266)),0.25,1)</f>
        <v>8.96860986547085</v>
      </c>
      <c r="P266" s="20" t="str">
        <f aca="false">IF(N266&lt;=10,"Quick win",IF(N266&lt;=20,"Strong",IF(N266&lt;=35,"Moderate","Stretch")))</f>
        <v>Strong</v>
      </c>
      <c r="Q266" s="12"/>
      <c r="R266" s="12"/>
      <c r="S266" s="12" t="s">
        <v>1588</v>
      </c>
      <c r="T266" s="12"/>
      <c r="U266" s="12"/>
      <c r="V266" s="14" t="s">
        <v>203</v>
      </c>
      <c r="W266" s="14"/>
      <c r="X266" s="15"/>
      <c r="Y266" s="14"/>
      <c r="Z266" s="24"/>
    </row>
    <row r="267" customFormat="false" ht="23.85" hidden="false" customHeight="false" outlineLevel="0" collapsed="false">
      <c r="A267" s="11" t="n">
        <v>266</v>
      </c>
      <c r="B267" s="11" t="s">
        <v>4</v>
      </c>
      <c r="C267" s="11" t="s">
        <v>1589</v>
      </c>
      <c r="D267" s="11" t="s">
        <v>1590</v>
      </c>
      <c r="E267" s="20" t="s">
        <v>627</v>
      </c>
      <c r="F267" s="11" t="s">
        <v>642</v>
      </c>
      <c r="G267" s="11" t="s">
        <v>1591</v>
      </c>
      <c r="H267" s="11" t="s">
        <v>241</v>
      </c>
      <c r="I267" s="11" t="s">
        <v>241</v>
      </c>
      <c r="J267" s="11" t="s">
        <v>56</v>
      </c>
      <c r="K267" s="13" t="n">
        <v>0</v>
      </c>
      <c r="L267" s="13" t="n">
        <v>260</v>
      </c>
      <c r="M267" s="13" t="n">
        <f aca="false">K267+L267</f>
        <v>260</v>
      </c>
      <c r="N267" s="19" t="n">
        <v>19</v>
      </c>
      <c r="O267" s="19" t="n">
        <f aca="false">IF(N267&lt;=35,1,0.25)*M267/(N267+10)*IF(ISNUMBER(SEARCH("KD mismatch",U267)),0.25,1)</f>
        <v>8.96551724137931</v>
      </c>
      <c r="P267" s="20" t="str">
        <f aca="false">IF(N267&lt;=10,"Quick win",IF(N267&lt;=20,"Strong",IF(N267&lt;=35,"Moderate","Stretch")))</f>
        <v>Strong</v>
      </c>
      <c r="Q267" s="12"/>
      <c r="R267" s="12"/>
      <c r="S267" s="12" t="s">
        <v>1592</v>
      </c>
      <c r="T267" s="12" t="s">
        <v>818</v>
      </c>
      <c r="U267" s="12"/>
      <c r="V267" s="14" t="s">
        <v>203</v>
      </c>
      <c r="W267" s="14"/>
      <c r="X267" s="15"/>
      <c r="Y267" s="14"/>
      <c r="Z267" s="24"/>
    </row>
    <row r="268" customFormat="false" ht="23.85" hidden="false" customHeight="false" outlineLevel="0" collapsed="false">
      <c r="A268" s="11" t="n">
        <v>267</v>
      </c>
      <c r="B268" s="11" t="s">
        <v>4</v>
      </c>
      <c r="C268" s="11" t="s">
        <v>1593</v>
      </c>
      <c r="D268" s="11" t="s">
        <v>1594</v>
      </c>
      <c r="E268" s="20" t="s">
        <v>648</v>
      </c>
      <c r="F268" s="11" t="s">
        <v>700</v>
      </c>
      <c r="G268" s="11" t="s">
        <v>370</v>
      </c>
      <c r="H268" s="11" t="s">
        <v>334</v>
      </c>
      <c r="I268" s="11" t="s">
        <v>370</v>
      </c>
      <c r="J268" s="11" t="s">
        <v>143</v>
      </c>
      <c r="K268" s="13" t="n">
        <v>110</v>
      </c>
      <c r="L268" s="13" t="n">
        <v>70</v>
      </c>
      <c r="M268" s="13" t="n">
        <f aca="false">K268+L268</f>
        <v>180</v>
      </c>
      <c r="N268" s="19" t="n">
        <v>10.3</v>
      </c>
      <c r="O268" s="19" t="n">
        <f aca="false">IF(N268&lt;=35,1,0.25)*M268/(N268+10)*IF(ISNUMBER(SEARCH("KD mismatch",U268)),0.25,1)</f>
        <v>8.86699507389163</v>
      </c>
      <c r="P268" s="20" t="str">
        <f aca="false">IF(N268&lt;=10,"Quick win",IF(N268&lt;=20,"Strong",IF(N268&lt;=35,"Moderate","Stretch")))</f>
        <v>Strong</v>
      </c>
      <c r="Q268" s="12"/>
      <c r="R268" s="12"/>
      <c r="S268" s="12" t="s">
        <v>1457</v>
      </c>
      <c r="T268" s="12"/>
      <c r="U268" s="12"/>
      <c r="V268" s="14" t="s">
        <v>203</v>
      </c>
      <c r="W268" s="14"/>
      <c r="X268" s="15"/>
      <c r="Y268" s="14"/>
      <c r="Z268" s="24"/>
    </row>
    <row r="269" customFormat="false" ht="23.85" hidden="false" customHeight="false" outlineLevel="0" collapsed="false">
      <c r="A269" s="11" t="n">
        <v>268</v>
      </c>
      <c r="B269" s="11" t="s">
        <v>4</v>
      </c>
      <c r="C269" s="11" t="s">
        <v>1595</v>
      </c>
      <c r="D269" s="11" t="s">
        <v>1596</v>
      </c>
      <c r="E269" s="20" t="s">
        <v>648</v>
      </c>
      <c r="F269" s="11" t="s">
        <v>692</v>
      </c>
      <c r="G269" s="11" t="s">
        <v>106</v>
      </c>
      <c r="H269" s="11" t="s">
        <v>196</v>
      </c>
      <c r="I269" s="11" t="s">
        <v>106</v>
      </c>
      <c r="J269" s="11" t="s">
        <v>71</v>
      </c>
      <c r="K269" s="13" t="n">
        <v>260</v>
      </c>
      <c r="L269" s="13" t="n">
        <v>30</v>
      </c>
      <c r="M269" s="13" t="n">
        <f aca="false">K269+L269</f>
        <v>290</v>
      </c>
      <c r="N269" s="19" t="n">
        <v>22.9</v>
      </c>
      <c r="O269" s="19" t="n">
        <f aca="false">IF(N269&lt;=35,1,0.25)*M269/(N269+10)*IF(ISNUMBER(SEARCH("KD mismatch",U269)),0.25,1)</f>
        <v>8.8145896656535</v>
      </c>
      <c r="P269" s="20" t="str">
        <f aca="false">IF(N269&lt;=10,"Quick win",IF(N269&lt;=20,"Strong",IF(N269&lt;=35,"Moderate","Stretch")))</f>
        <v>Moderate</v>
      </c>
      <c r="Q269" s="12"/>
      <c r="R269" s="12"/>
      <c r="S269" s="12" t="s">
        <v>1537</v>
      </c>
      <c r="T269" s="12" t="s">
        <v>674</v>
      </c>
      <c r="U269" s="12"/>
      <c r="V269" s="14" t="s">
        <v>203</v>
      </c>
      <c r="W269" s="14"/>
      <c r="X269" s="15"/>
      <c r="Y269" s="14"/>
      <c r="Z269" s="24"/>
    </row>
    <row r="270" customFormat="false" ht="23.85" hidden="false" customHeight="false" outlineLevel="0" collapsed="false">
      <c r="A270" s="11" t="n">
        <v>269</v>
      </c>
      <c r="B270" s="11" t="s">
        <v>4</v>
      </c>
      <c r="C270" s="11" t="s">
        <v>1597</v>
      </c>
      <c r="D270" s="11" t="s">
        <v>1598</v>
      </c>
      <c r="E270" s="20" t="s">
        <v>648</v>
      </c>
      <c r="F270" s="11" t="s">
        <v>1308</v>
      </c>
      <c r="G270" s="11" t="s">
        <v>231</v>
      </c>
      <c r="H270" s="11" t="s">
        <v>232</v>
      </c>
      <c r="I270" s="11" t="s">
        <v>231</v>
      </c>
      <c r="J270" s="11" t="s">
        <v>71</v>
      </c>
      <c r="K270" s="13" t="n">
        <v>140</v>
      </c>
      <c r="L270" s="13" t="n">
        <v>0</v>
      </c>
      <c r="M270" s="13" t="n">
        <f aca="false">K270+L270</f>
        <v>140</v>
      </c>
      <c r="N270" s="19" t="n">
        <v>6</v>
      </c>
      <c r="O270" s="19" t="n">
        <f aca="false">IF(N270&lt;=35,1,0.25)*M270/(N270+10)*IF(ISNUMBER(SEARCH("KD mismatch",U270)),0.25,1)</f>
        <v>8.75</v>
      </c>
      <c r="P270" s="20" t="str">
        <f aca="false">IF(N270&lt;=10,"Quick win",IF(N270&lt;=20,"Strong",IF(N270&lt;=35,"Moderate","Stretch")))</f>
        <v>Quick win</v>
      </c>
      <c r="Q270" s="12"/>
      <c r="R270" s="12"/>
      <c r="S270" s="12" t="s">
        <v>1039</v>
      </c>
      <c r="T270" s="12"/>
      <c r="U270" s="12"/>
      <c r="V270" s="14" t="s">
        <v>203</v>
      </c>
      <c r="W270" s="14"/>
      <c r="X270" s="15"/>
      <c r="Y270" s="14"/>
      <c r="Z270" s="24"/>
    </row>
    <row r="271" customFormat="false" ht="23.85" hidden="false" customHeight="false" outlineLevel="0" collapsed="false">
      <c r="A271" s="11" t="n">
        <v>270</v>
      </c>
      <c r="B271" s="11" t="s">
        <v>4</v>
      </c>
      <c r="C271" s="11" t="s">
        <v>1599</v>
      </c>
      <c r="D271" s="11" t="s">
        <v>1600</v>
      </c>
      <c r="E271" s="20" t="s">
        <v>627</v>
      </c>
      <c r="F271" s="11" t="s">
        <v>738</v>
      </c>
      <c r="G271" s="11" t="s">
        <v>1496</v>
      </c>
      <c r="H271" s="11" t="s">
        <v>196</v>
      </c>
      <c r="I271" s="11" t="s">
        <v>196</v>
      </c>
      <c r="J271" s="11" t="s">
        <v>183</v>
      </c>
      <c r="K271" s="13" t="n">
        <v>140</v>
      </c>
      <c r="L271" s="13" t="n">
        <v>0</v>
      </c>
      <c r="M271" s="13" t="n">
        <f aca="false">K271+L271</f>
        <v>140</v>
      </c>
      <c r="N271" s="19" t="n">
        <v>6</v>
      </c>
      <c r="O271" s="19" t="n">
        <f aca="false">IF(N271&lt;=35,1,0.25)*M271/(N271+10)*IF(ISNUMBER(SEARCH("KD mismatch",U271)),0.25,1)</f>
        <v>8.75</v>
      </c>
      <c r="P271" s="20" t="str">
        <f aca="false">IF(N271&lt;=10,"Quick win",IF(N271&lt;=20,"Strong",IF(N271&lt;=35,"Moderate","Stretch")))</f>
        <v>Quick win</v>
      </c>
      <c r="Q271" s="12"/>
      <c r="R271" s="12" t="s">
        <v>1601</v>
      </c>
      <c r="S271" s="12" t="s">
        <v>1602</v>
      </c>
      <c r="T271" s="12" t="s">
        <v>1603</v>
      </c>
      <c r="U271" s="12"/>
      <c r="V271" s="14" t="s">
        <v>203</v>
      </c>
      <c r="W271" s="14"/>
      <c r="X271" s="15"/>
      <c r="Y271" s="14"/>
      <c r="Z271" s="24"/>
    </row>
    <row r="272" customFormat="false" ht="23.85" hidden="false" customHeight="false" outlineLevel="0" collapsed="false">
      <c r="A272" s="11" t="n">
        <v>271</v>
      </c>
      <c r="B272" s="11" t="s">
        <v>4</v>
      </c>
      <c r="C272" s="11" t="s">
        <v>1604</v>
      </c>
      <c r="D272" s="11" t="s">
        <v>1605</v>
      </c>
      <c r="E272" s="20" t="s">
        <v>648</v>
      </c>
      <c r="F272" s="11" t="s">
        <v>1042</v>
      </c>
      <c r="G272" s="11" t="s">
        <v>231</v>
      </c>
      <c r="H272" s="11" t="s">
        <v>232</v>
      </c>
      <c r="I272" s="11" t="s">
        <v>231</v>
      </c>
      <c r="J272" s="11" t="s">
        <v>143</v>
      </c>
      <c r="K272" s="13" t="n">
        <v>140</v>
      </c>
      <c r="L272" s="13" t="n">
        <v>0</v>
      </c>
      <c r="M272" s="13" t="n">
        <f aca="false">K272+L272</f>
        <v>140</v>
      </c>
      <c r="N272" s="19" t="n">
        <v>6</v>
      </c>
      <c r="O272" s="19" t="n">
        <f aca="false">IF(N272&lt;=35,1,0.25)*M272/(N272+10)*IF(ISNUMBER(SEARCH("KD mismatch",U272)),0.25,1)</f>
        <v>8.75</v>
      </c>
      <c r="P272" s="20" t="str">
        <f aca="false">IF(N272&lt;=10,"Quick win",IF(N272&lt;=20,"Strong",IF(N272&lt;=35,"Moderate","Stretch")))</f>
        <v>Quick win</v>
      </c>
      <c r="Q272" s="12"/>
      <c r="R272" s="12"/>
      <c r="S272" s="12" t="s">
        <v>885</v>
      </c>
      <c r="T272" s="12"/>
      <c r="U272" s="12"/>
      <c r="V272" s="14" t="s">
        <v>203</v>
      </c>
      <c r="W272" s="14"/>
      <c r="X272" s="15"/>
      <c r="Y272" s="14"/>
      <c r="Z272" s="24"/>
    </row>
    <row r="273" customFormat="false" ht="15" hidden="false" customHeight="false" outlineLevel="0" collapsed="false">
      <c r="A273" s="11" t="n">
        <v>272</v>
      </c>
      <c r="B273" s="11" t="s">
        <v>4</v>
      </c>
      <c r="C273" s="11" t="s">
        <v>1606</v>
      </c>
      <c r="D273" s="11" t="s">
        <v>1607</v>
      </c>
      <c r="E273" s="20" t="s">
        <v>648</v>
      </c>
      <c r="F273" s="11" t="s">
        <v>649</v>
      </c>
      <c r="G273" s="11" t="s">
        <v>1608</v>
      </c>
      <c r="H273" s="11" t="s">
        <v>257</v>
      </c>
      <c r="I273" s="11" t="s">
        <v>257</v>
      </c>
      <c r="J273" s="11" t="s">
        <v>71</v>
      </c>
      <c r="K273" s="13" t="n">
        <v>140</v>
      </c>
      <c r="L273" s="13" t="n">
        <v>0</v>
      </c>
      <c r="M273" s="13" t="n">
        <f aca="false">K273+L273</f>
        <v>140</v>
      </c>
      <c r="N273" s="19" t="n">
        <v>6</v>
      </c>
      <c r="O273" s="19" t="n">
        <f aca="false">IF(N273&lt;=35,1,0.25)*M273/(N273+10)*IF(ISNUMBER(SEARCH("KD mismatch",U273)),0.25,1)</f>
        <v>8.75</v>
      </c>
      <c r="P273" s="20" t="str">
        <f aca="false">IF(N273&lt;=10,"Quick win",IF(N273&lt;=20,"Strong",IF(N273&lt;=35,"Moderate","Stretch")))</f>
        <v>Quick win</v>
      </c>
      <c r="Q273" s="12"/>
      <c r="R273" s="12"/>
      <c r="S273" s="12" t="s">
        <v>1609</v>
      </c>
      <c r="T273" s="12"/>
      <c r="U273" s="12"/>
      <c r="V273" s="14" t="s">
        <v>203</v>
      </c>
      <c r="W273" s="14"/>
      <c r="X273" s="15"/>
      <c r="Y273" s="14"/>
      <c r="Z273" s="24"/>
    </row>
    <row r="274" customFormat="false" ht="23.85" hidden="false" customHeight="false" outlineLevel="0" collapsed="false">
      <c r="A274" s="11" t="n">
        <v>273</v>
      </c>
      <c r="B274" s="11" t="s">
        <v>4</v>
      </c>
      <c r="C274" s="11" t="s">
        <v>1610</v>
      </c>
      <c r="D274" s="11" t="s">
        <v>1611</v>
      </c>
      <c r="E274" s="20" t="s">
        <v>648</v>
      </c>
      <c r="F274" s="11" t="s">
        <v>700</v>
      </c>
      <c r="G274" s="11" t="s">
        <v>351</v>
      </c>
      <c r="H274" s="11" t="s">
        <v>761</v>
      </c>
      <c r="I274" s="11" t="s">
        <v>351</v>
      </c>
      <c r="J274" s="11" t="s">
        <v>143</v>
      </c>
      <c r="K274" s="13" t="n">
        <v>140</v>
      </c>
      <c r="L274" s="13" t="n">
        <v>0</v>
      </c>
      <c r="M274" s="13" t="n">
        <f aca="false">K274+L274</f>
        <v>140</v>
      </c>
      <c r="N274" s="19" t="n">
        <v>6</v>
      </c>
      <c r="O274" s="19" t="n">
        <f aca="false">IF(N274&lt;=35,1,0.25)*M274/(N274+10)*IF(ISNUMBER(SEARCH("KD mismatch",U274)),0.25,1)</f>
        <v>8.75</v>
      </c>
      <c r="P274" s="20" t="str">
        <f aca="false">IF(N274&lt;=10,"Quick win",IF(N274&lt;=20,"Strong",IF(N274&lt;=35,"Moderate","Stretch")))</f>
        <v>Quick win</v>
      </c>
      <c r="Q274" s="12"/>
      <c r="R274" s="12"/>
      <c r="S274" s="12" t="s">
        <v>1612</v>
      </c>
      <c r="T274" s="12"/>
      <c r="U274" s="12"/>
      <c r="V274" s="14" t="s">
        <v>203</v>
      </c>
      <c r="W274" s="14"/>
      <c r="X274" s="15"/>
      <c r="Y274" s="14"/>
      <c r="Z274" s="24"/>
    </row>
    <row r="275" customFormat="false" ht="23.85" hidden="false" customHeight="false" outlineLevel="0" collapsed="false">
      <c r="A275" s="11" t="n">
        <v>274</v>
      </c>
      <c r="B275" s="11" t="s">
        <v>4</v>
      </c>
      <c r="C275" s="11" t="s">
        <v>1613</v>
      </c>
      <c r="D275" s="11" t="s">
        <v>1614</v>
      </c>
      <c r="E275" s="20" t="s">
        <v>648</v>
      </c>
      <c r="F275" s="11" t="s">
        <v>1308</v>
      </c>
      <c r="G275" s="11" t="s">
        <v>357</v>
      </c>
      <c r="H275" s="11" t="s">
        <v>214</v>
      </c>
      <c r="I275" s="11" t="s">
        <v>357</v>
      </c>
      <c r="J275" s="11" t="s">
        <v>71</v>
      </c>
      <c r="K275" s="13" t="n">
        <v>170</v>
      </c>
      <c r="L275" s="13" t="n">
        <v>0</v>
      </c>
      <c r="M275" s="13" t="n">
        <f aca="false">K275+L275</f>
        <v>170</v>
      </c>
      <c r="N275" s="19" t="n">
        <v>10</v>
      </c>
      <c r="O275" s="19" t="n">
        <f aca="false">IF(N275&lt;=35,1,0.25)*M275/(N275+10)*IF(ISNUMBER(SEARCH("KD mismatch",U275)),0.25,1)</f>
        <v>8.5</v>
      </c>
      <c r="P275" s="20" t="str">
        <f aca="false">IF(N275&lt;=10,"Quick win",IF(N275&lt;=20,"Strong",IF(N275&lt;=35,"Moderate","Stretch")))</f>
        <v>Quick win</v>
      </c>
      <c r="Q275" s="12"/>
      <c r="R275" s="12"/>
      <c r="S275" s="12" t="s">
        <v>1615</v>
      </c>
      <c r="T275" s="12" t="s">
        <v>931</v>
      </c>
      <c r="U275" s="12"/>
      <c r="V275" s="14" t="s">
        <v>203</v>
      </c>
      <c r="W275" s="14"/>
      <c r="X275" s="15"/>
      <c r="Y275" s="14"/>
      <c r="Z275" s="24"/>
    </row>
    <row r="276" customFormat="false" ht="23.85" hidden="false" customHeight="false" outlineLevel="0" collapsed="false">
      <c r="A276" s="11" t="n">
        <v>275</v>
      </c>
      <c r="B276" s="11" t="s">
        <v>4</v>
      </c>
      <c r="C276" s="11" t="s">
        <v>1616</v>
      </c>
      <c r="D276" s="11" t="s">
        <v>1617</v>
      </c>
      <c r="E276" s="20" t="s">
        <v>627</v>
      </c>
      <c r="F276" s="11" t="s">
        <v>881</v>
      </c>
      <c r="G276" s="11" t="s">
        <v>270</v>
      </c>
      <c r="H276" s="11" t="s">
        <v>232</v>
      </c>
      <c r="I276" s="11" t="s">
        <v>270</v>
      </c>
      <c r="J276" s="11" t="s">
        <v>182</v>
      </c>
      <c r="K276" s="13" t="n">
        <v>170</v>
      </c>
      <c r="L276" s="13" t="n">
        <v>0</v>
      </c>
      <c r="M276" s="13" t="n">
        <f aca="false">K276+L276</f>
        <v>170</v>
      </c>
      <c r="N276" s="19" t="n">
        <v>10</v>
      </c>
      <c r="O276" s="19" t="n">
        <f aca="false">IF(N276&lt;=35,1,0.25)*M276/(N276+10)*IF(ISNUMBER(SEARCH("KD mismatch",U276)),0.25,1)</f>
        <v>8.5</v>
      </c>
      <c r="P276" s="20" t="str">
        <f aca="false">IF(N276&lt;=10,"Quick win",IF(N276&lt;=20,"Strong",IF(N276&lt;=35,"Moderate","Stretch")))</f>
        <v>Quick win</v>
      </c>
      <c r="Q276" s="12"/>
      <c r="R276" s="12"/>
      <c r="S276" s="12" t="s">
        <v>950</v>
      </c>
      <c r="T276" s="12"/>
      <c r="U276" s="12"/>
      <c r="V276" s="14" t="s">
        <v>203</v>
      </c>
      <c r="W276" s="14"/>
      <c r="X276" s="15"/>
      <c r="Y276" s="14"/>
      <c r="Z276" s="24"/>
    </row>
    <row r="277" customFormat="false" ht="23.85" hidden="false" customHeight="false" outlineLevel="0" collapsed="false">
      <c r="A277" s="11" t="n">
        <v>276</v>
      </c>
      <c r="B277" s="11" t="s">
        <v>4</v>
      </c>
      <c r="C277" s="11" t="s">
        <v>1618</v>
      </c>
      <c r="D277" s="11" t="s">
        <v>1619</v>
      </c>
      <c r="E277" s="20" t="s">
        <v>648</v>
      </c>
      <c r="F277" s="11" t="s">
        <v>796</v>
      </c>
      <c r="G277" s="11" t="s">
        <v>133</v>
      </c>
      <c r="H277" s="11" t="s">
        <v>247</v>
      </c>
      <c r="I277" s="11" t="s">
        <v>133</v>
      </c>
      <c r="J277" s="11" t="s">
        <v>71</v>
      </c>
      <c r="K277" s="13" t="n">
        <v>170</v>
      </c>
      <c r="L277" s="13" t="n">
        <v>0</v>
      </c>
      <c r="M277" s="13" t="n">
        <f aca="false">K277+L277</f>
        <v>170</v>
      </c>
      <c r="N277" s="19" t="n">
        <v>10</v>
      </c>
      <c r="O277" s="19" t="n">
        <f aca="false">IF(N277&lt;=35,1,0.25)*M277/(N277+10)*IF(ISNUMBER(SEARCH("KD mismatch",U277)),0.25,1)</f>
        <v>8.5</v>
      </c>
      <c r="P277" s="20" t="str">
        <f aca="false">IF(N277&lt;=10,"Quick win",IF(N277&lt;=20,"Strong",IF(N277&lt;=35,"Moderate","Stretch")))</f>
        <v>Quick win</v>
      </c>
      <c r="Q277" s="12"/>
      <c r="R277" s="12"/>
      <c r="S277" s="12" t="s">
        <v>683</v>
      </c>
      <c r="T277" s="12"/>
      <c r="U277" s="12"/>
      <c r="V277" s="14" t="s">
        <v>203</v>
      </c>
      <c r="W277" s="14"/>
      <c r="X277" s="15"/>
      <c r="Y277" s="14"/>
      <c r="Z277" s="24"/>
    </row>
    <row r="278" customFormat="false" ht="23.85" hidden="false" customHeight="false" outlineLevel="0" collapsed="false">
      <c r="A278" s="11" t="n">
        <v>277</v>
      </c>
      <c r="B278" s="11" t="s">
        <v>4</v>
      </c>
      <c r="C278" s="11" t="s">
        <v>1620</v>
      </c>
      <c r="D278" s="11" t="s">
        <v>1621</v>
      </c>
      <c r="E278" s="20" t="s">
        <v>627</v>
      </c>
      <c r="F278" s="11" t="s">
        <v>1622</v>
      </c>
      <c r="G278" s="11" t="s">
        <v>392</v>
      </c>
      <c r="H278" s="11" t="s">
        <v>214</v>
      </c>
      <c r="I278" s="11" t="s">
        <v>392</v>
      </c>
      <c r="J278" s="11" t="s">
        <v>182</v>
      </c>
      <c r="K278" s="13" t="n">
        <v>0</v>
      </c>
      <c r="L278" s="13" t="n">
        <v>540</v>
      </c>
      <c r="M278" s="13" t="n">
        <f aca="false">K278+L278</f>
        <v>540</v>
      </c>
      <c r="N278" s="19" t="n">
        <v>6</v>
      </c>
      <c r="O278" s="19" t="n">
        <f aca="false">IF(N278&lt;=35,1,0.25)*M278/(N278+10)*IF(ISNUMBER(SEARCH("KD mismatch",U278)),0.25,1)</f>
        <v>8.4375</v>
      </c>
      <c r="P278" s="20" t="str">
        <f aca="false">IF(N278&lt;=10,"Quick win",IF(N278&lt;=20,"Strong",IF(N278&lt;=35,"Moderate","Stretch")))</f>
        <v>Quick win</v>
      </c>
      <c r="Q278" s="12"/>
      <c r="R278" s="12" t="s">
        <v>1623</v>
      </c>
      <c r="S278" s="12" t="s">
        <v>1624</v>
      </c>
      <c r="T278" s="12"/>
      <c r="U278" s="12" t="s">
        <v>1625</v>
      </c>
      <c r="V278" s="14" t="s">
        <v>203</v>
      </c>
      <c r="W278" s="14"/>
      <c r="X278" s="15"/>
      <c r="Y278" s="14"/>
      <c r="Z278" s="24"/>
    </row>
    <row r="279" customFormat="false" ht="23.85" hidden="false" customHeight="false" outlineLevel="0" collapsed="false">
      <c r="A279" s="11" t="n">
        <v>278</v>
      </c>
      <c r="B279" s="11" t="s">
        <v>4</v>
      </c>
      <c r="C279" s="11" t="s">
        <v>1626</v>
      </c>
      <c r="D279" s="11" t="s">
        <v>1627</v>
      </c>
      <c r="E279" s="20" t="s">
        <v>648</v>
      </c>
      <c r="F279" s="11" t="s">
        <v>784</v>
      </c>
      <c r="G279" s="11" t="s">
        <v>106</v>
      </c>
      <c r="H279" s="11" t="s">
        <v>196</v>
      </c>
      <c r="I279" s="11" t="s">
        <v>106</v>
      </c>
      <c r="J279" s="11" t="s">
        <v>143</v>
      </c>
      <c r="K279" s="13" t="n">
        <v>320</v>
      </c>
      <c r="L279" s="13" t="n">
        <v>0</v>
      </c>
      <c r="M279" s="13" t="n">
        <f aca="false">K279+L279</f>
        <v>320</v>
      </c>
      <c r="N279" s="19" t="n">
        <v>28</v>
      </c>
      <c r="O279" s="19" t="n">
        <f aca="false">IF(N279&lt;=35,1,0.25)*M279/(N279+10)*IF(ISNUMBER(SEARCH("KD mismatch",U279)),0.25,1)</f>
        <v>8.42105263157895</v>
      </c>
      <c r="P279" s="20" t="str">
        <f aca="false">IF(N279&lt;=10,"Quick win",IF(N279&lt;=20,"Strong",IF(N279&lt;=35,"Moderate","Stretch")))</f>
        <v>Moderate</v>
      </c>
      <c r="Q279" s="12"/>
      <c r="R279" s="12"/>
      <c r="S279" s="12" t="s">
        <v>1628</v>
      </c>
      <c r="T279" s="12" t="s">
        <v>674</v>
      </c>
      <c r="U279" s="12"/>
      <c r="V279" s="14" t="s">
        <v>203</v>
      </c>
      <c r="W279" s="14"/>
      <c r="X279" s="15"/>
      <c r="Y279" s="14"/>
      <c r="Z279" s="24"/>
    </row>
    <row r="280" customFormat="false" ht="23.85" hidden="false" customHeight="false" outlineLevel="0" collapsed="false">
      <c r="A280" s="11" t="n">
        <v>279</v>
      </c>
      <c r="B280" s="11" t="s">
        <v>4</v>
      </c>
      <c r="C280" s="11" t="s">
        <v>1629</v>
      </c>
      <c r="D280" s="11" t="s">
        <v>1630</v>
      </c>
      <c r="E280" s="20" t="s">
        <v>648</v>
      </c>
      <c r="F280" s="11" t="s">
        <v>850</v>
      </c>
      <c r="G280" s="11" t="s">
        <v>392</v>
      </c>
      <c r="H280" s="11" t="s">
        <v>214</v>
      </c>
      <c r="I280" s="11" t="s">
        <v>392</v>
      </c>
      <c r="J280" s="11" t="s">
        <v>71</v>
      </c>
      <c r="K280" s="13" t="n">
        <v>210</v>
      </c>
      <c r="L280" s="13" t="n">
        <v>40</v>
      </c>
      <c r="M280" s="13" t="n">
        <f aca="false">K280+L280</f>
        <v>250</v>
      </c>
      <c r="N280" s="19" t="n">
        <v>19.7</v>
      </c>
      <c r="O280" s="19" t="n">
        <f aca="false">IF(N280&lt;=35,1,0.25)*M280/(N280+10)*IF(ISNUMBER(SEARCH("KD mismatch",U280)),0.25,1)</f>
        <v>8.41750841750842</v>
      </c>
      <c r="P280" s="20" t="str">
        <f aca="false">IF(N280&lt;=10,"Quick win",IF(N280&lt;=20,"Strong",IF(N280&lt;=35,"Moderate","Stretch")))</f>
        <v>Strong</v>
      </c>
      <c r="Q280" s="12"/>
      <c r="R280" s="12"/>
      <c r="S280" s="12" t="s">
        <v>1631</v>
      </c>
      <c r="T280" s="12"/>
      <c r="U280" s="12"/>
      <c r="V280" s="14" t="s">
        <v>203</v>
      </c>
      <c r="W280" s="14"/>
      <c r="X280" s="15"/>
      <c r="Y280" s="14"/>
      <c r="Z280" s="24"/>
    </row>
    <row r="281" customFormat="false" ht="23.85" hidden="false" customHeight="false" outlineLevel="0" collapsed="false">
      <c r="A281" s="11" t="n">
        <v>280</v>
      </c>
      <c r="B281" s="11" t="s">
        <v>4</v>
      </c>
      <c r="C281" s="11" t="s">
        <v>1632</v>
      </c>
      <c r="D281" s="11" t="s">
        <v>1633</v>
      </c>
      <c r="E281" s="20" t="s">
        <v>648</v>
      </c>
      <c r="F281" s="11" t="s">
        <v>649</v>
      </c>
      <c r="G281" s="11" t="s">
        <v>392</v>
      </c>
      <c r="H281" s="11" t="s">
        <v>214</v>
      </c>
      <c r="I281" s="11" t="s">
        <v>392</v>
      </c>
      <c r="J281" s="11" t="s">
        <v>71</v>
      </c>
      <c r="K281" s="13" t="n">
        <v>290</v>
      </c>
      <c r="L281" s="13" t="n">
        <v>760</v>
      </c>
      <c r="M281" s="13" t="n">
        <f aca="false">K281+L281</f>
        <v>1050</v>
      </c>
      <c r="N281" s="19" t="n">
        <v>21.5</v>
      </c>
      <c r="O281" s="19" t="n">
        <f aca="false">IF(N281&lt;=35,1,0.25)*M281/(N281+10)*IF(ISNUMBER(SEARCH("KD mismatch",U281)),0.25,1)</f>
        <v>8.33333333333333</v>
      </c>
      <c r="P281" s="20" t="str">
        <f aca="false">IF(N281&lt;=10,"Quick win",IF(N281&lt;=20,"Strong",IF(N281&lt;=35,"Moderate","Stretch")))</f>
        <v>Moderate</v>
      </c>
      <c r="Q281" s="12" t="s">
        <v>1634</v>
      </c>
      <c r="R281" s="12" t="s">
        <v>1635</v>
      </c>
      <c r="S281" s="12" t="s">
        <v>1636</v>
      </c>
      <c r="T281" s="12"/>
      <c r="U281" s="12" t="s">
        <v>1625</v>
      </c>
      <c r="V281" s="14" t="s">
        <v>203</v>
      </c>
      <c r="W281" s="14"/>
      <c r="X281" s="15"/>
      <c r="Y281" s="14"/>
      <c r="Z281" s="24"/>
    </row>
    <row r="282" customFormat="false" ht="23.85" hidden="false" customHeight="false" outlineLevel="0" collapsed="false">
      <c r="A282" s="11" t="n">
        <v>281</v>
      </c>
      <c r="B282" s="11" t="s">
        <v>4</v>
      </c>
      <c r="C282" s="11" t="s">
        <v>1637</v>
      </c>
      <c r="D282" s="11" t="s">
        <v>1638</v>
      </c>
      <c r="E282" s="20" t="s">
        <v>627</v>
      </c>
      <c r="F282" s="11" t="s">
        <v>738</v>
      </c>
      <c r="G282" s="11" t="s">
        <v>1639</v>
      </c>
      <c r="H282" s="11" t="s">
        <v>1639</v>
      </c>
      <c r="I282" s="11" t="s">
        <v>205</v>
      </c>
      <c r="J282" s="11" t="s">
        <v>183</v>
      </c>
      <c r="K282" s="13" t="n">
        <v>110</v>
      </c>
      <c r="L282" s="13" t="n">
        <v>30</v>
      </c>
      <c r="M282" s="13" t="n">
        <f aca="false">K282+L282</f>
        <v>140</v>
      </c>
      <c r="N282" s="19" t="n">
        <v>6.8</v>
      </c>
      <c r="O282" s="19" t="n">
        <f aca="false">IF(N282&lt;=35,1,0.25)*M282/(N282+10)*IF(ISNUMBER(SEARCH("KD mismatch",U282)),0.25,1)</f>
        <v>8.33333333333333</v>
      </c>
      <c r="P282" s="20" t="str">
        <f aca="false">IF(N282&lt;=10,"Quick win",IF(N282&lt;=20,"Strong",IF(N282&lt;=35,"Moderate","Stretch")))</f>
        <v>Quick win</v>
      </c>
      <c r="Q282" s="12"/>
      <c r="R282" s="12"/>
      <c r="S282" s="12" t="s">
        <v>1461</v>
      </c>
      <c r="T282" s="12"/>
      <c r="U282" s="12"/>
      <c r="V282" s="14" t="s">
        <v>203</v>
      </c>
      <c r="W282" s="14"/>
      <c r="X282" s="15"/>
      <c r="Y282" s="14"/>
      <c r="Z282" s="24"/>
    </row>
    <row r="283" customFormat="false" ht="23.85" hidden="false" customHeight="false" outlineLevel="0" collapsed="false">
      <c r="A283" s="11" t="n">
        <v>282</v>
      </c>
      <c r="B283" s="11" t="s">
        <v>4</v>
      </c>
      <c r="C283" s="11" t="s">
        <v>1640</v>
      </c>
      <c r="D283" s="11" t="s">
        <v>1641</v>
      </c>
      <c r="E283" s="20" t="s">
        <v>648</v>
      </c>
      <c r="F283" s="11" t="s">
        <v>700</v>
      </c>
      <c r="G283" s="11" t="s">
        <v>318</v>
      </c>
      <c r="H283" s="11" t="s">
        <v>241</v>
      </c>
      <c r="I283" s="11" t="s">
        <v>318</v>
      </c>
      <c r="J283" s="11" t="s">
        <v>143</v>
      </c>
      <c r="K283" s="13" t="n">
        <v>140</v>
      </c>
      <c r="L283" s="13" t="n">
        <v>0</v>
      </c>
      <c r="M283" s="13" t="n">
        <f aca="false">K283+L283</f>
        <v>140</v>
      </c>
      <c r="N283" s="19" t="n">
        <v>6.9</v>
      </c>
      <c r="O283" s="19" t="n">
        <f aca="false">IF(N283&lt;=35,1,0.25)*M283/(N283+10)*IF(ISNUMBER(SEARCH("KD mismatch",U283)),0.25,1)</f>
        <v>8.28402366863906</v>
      </c>
      <c r="P283" s="20" t="str">
        <f aca="false">IF(N283&lt;=10,"Quick win",IF(N283&lt;=20,"Strong",IF(N283&lt;=35,"Moderate","Stretch")))</f>
        <v>Quick win</v>
      </c>
      <c r="Q283" s="12" t="s">
        <v>1642</v>
      </c>
      <c r="R283" s="12"/>
      <c r="S283" s="12" t="s">
        <v>1643</v>
      </c>
      <c r="T283" s="12"/>
      <c r="U283" s="12"/>
      <c r="V283" s="14" t="s">
        <v>203</v>
      </c>
      <c r="W283" s="14"/>
      <c r="X283" s="15"/>
      <c r="Y283" s="14"/>
      <c r="Z283" s="24"/>
    </row>
    <row r="284" customFormat="false" ht="23.85" hidden="false" customHeight="false" outlineLevel="0" collapsed="false">
      <c r="A284" s="11" t="n">
        <v>283</v>
      </c>
      <c r="B284" s="11" t="s">
        <v>4</v>
      </c>
      <c r="C284" s="11" t="s">
        <v>1644</v>
      </c>
      <c r="D284" s="11" t="s">
        <v>1645</v>
      </c>
      <c r="E284" s="20" t="s">
        <v>648</v>
      </c>
      <c r="F284" s="11" t="s">
        <v>796</v>
      </c>
      <c r="G284" s="11" t="s">
        <v>389</v>
      </c>
      <c r="H284" s="11" t="s">
        <v>389</v>
      </c>
      <c r="I284" s="11" t="s">
        <v>389</v>
      </c>
      <c r="J284" s="11" t="s">
        <v>71</v>
      </c>
      <c r="K284" s="13" t="n">
        <v>140</v>
      </c>
      <c r="L284" s="13" t="n">
        <v>0</v>
      </c>
      <c r="M284" s="13" t="n">
        <f aca="false">K284+L284</f>
        <v>140</v>
      </c>
      <c r="N284" s="19" t="n">
        <v>7</v>
      </c>
      <c r="O284" s="19" t="n">
        <f aca="false">IF(N284&lt;=35,1,0.25)*M284/(N284+10)*IF(ISNUMBER(SEARCH("KD mismatch",U284)),0.25,1)</f>
        <v>8.23529411764706</v>
      </c>
      <c r="P284" s="20" t="str">
        <f aca="false">IF(N284&lt;=10,"Quick win",IF(N284&lt;=20,"Strong",IF(N284&lt;=35,"Moderate","Stretch")))</f>
        <v>Quick win</v>
      </c>
      <c r="Q284" s="12"/>
      <c r="R284" s="12"/>
      <c r="S284" s="12" t="s">
        <v>1646</v>
      </c>
      <c r="T284" s="12"/>
      <c r="U284" s="12"/>
      <c r="V284" s="14" t="s">
        <v>203</v>
      </c>
      <c r="W284" s="14"/>
      <c r="X284" s="15"/>
      <c r="Y284" s="14"/>
      <c r="Z284" s="24"/>
    </row>
    <row r="285" customFormat="false" ht="23.85" hidden="false" customHeight="false" outlineLevel="0" collapsed="false">
      <c r="A285" s="11" t="n">
        <v>284</v>
      </c>
      <c r="B285" s="11" t="s">
        <v>4</v>
      </c>
      <c r="C285" s="11" t="s">
        <v>1647</v>
      </c>
      <c r="D285" s="11" t="s">
        <v>1648</v>
      </c>
      <c r="E285" s="20" t="s">
        <v>627</v>
      </c>
      <c r="F285" s="11" t="s">
        <v>738</v>
      </c>
      <c r="G285" s="11" t="s">
        <v>232</v>
      </c>
      <c r="H285" s="11" t="s">
        <v>232</v>
      </c>
      <c r="I285" s="11" t="s">
        <v>232</v>
      </c>
      <c r="J285" s="11" t="s">
        <v>183</v>
      </c>
      <c r="K285" s="13" t="n">
        <v>0</v>
      </c>
      <c r="L285" s="13" t="n">
        <v>180</v>
      </c>
      <c r="M285" s="13" t="n">
        <f aca="false">K285+L285</f>
        <v>180</v>
      </c>
      <c r="N285" s="19" t="n">
        <v>12</v>
      </c>
      <c r="O285" s="19" t="n">
        <f aca="false">IF(N285&lt;=35,1,0.25)*M285/(N285+10)*IF(ISNUMBER(SEARCH("KD mismatch",U285)),0.25,1)</f>
        <v>8.18181818181818</v>
      </c>
      <c r="P285" s="20" t="str">
        <f aca="false">IF(N285&lt;=10,"Quick win",IF(N285&lt;=20,"Strong",IF(N285&lt;=35,"Moderate","Stretch")))</f>
        <v>Strong</v>
      </c>
      <c r="Q285" s="12"/>
      <c r="R285" s="12" t="s">
        <v>1649</v>
      </c>
      <c r="S285" s="12" t="s">
        <v>1650</v>
      </c>
      <c r="T285" s="12"/>
      <c r="U285" s="12"/>
      <c r="V285" s="14" t="s">
        <v>203</v>
      </c>
      <c r="W285" s="14"/>
      <c r="X285" s="15"/>
      <c r="Y285" s="14"/>
      <c r="Z285" s="24"/>
    </row>
    <row r="286" customFormat="false" ht="23.85" hidden="false" customHeight="false" outlineLevel="0" collapsed="false">
      <c r="A286" s="11" t="n">
        <v>285</v>
      </c>
      <c r="B286" s="11" t="s">
        <v>4</v>
      </c>
      <c r="C286" s="11" t="s">
        <v>1651</v>
      </c>
      <c r="D286" s="11" t="s">
        <v>1652</v>
      </c>
      <c r="E286" s="20" t="s">
        <v>648</v>
      </c>
      <c r="F286" s="11" t="s">
        <v>796</v>
      </c>
      <c r="G286" s="11" t="s">
        <v>228</v>
      </c>
      <c r="H286" s="11" t="s">
        <v>228</v>
      </c>
      <c r="I286" s="11" t="s">
        <v>228</v>
      </c>
      <c r="J286" s="11" t="s">
        <v>71</v>
      </c>
      <c r="K286" s="13" t="n">
        <v>140</v>
      </c>
      <c r="L286" s="13" t="n">
        <v>40</v>
      </c>
      <c r="M286" s="13" t="n">
        <f aca="false">K286+L286</f>
        <v>180</v>
      </c>
      <c r="N286" s="19" t="n">
        <v>12.1</v>
      </c>
      <c r="O286" s="19" t="n">
        <f aca="false">IF(N286&lt;=35,1,0.25)*M286/(N286+10)*IF(ISNUMBER(SEARCH("KD mismatch",U286)),0.25,1)</f>
        <v>8.1447963800905</v>
      </c>
      <c r="P286" s="20" t="str">
        <f aca="false">IF(N286&lt;=10,"Quick win",IF(N286&lt;=20,"Strong",IF(N286&lt;=35,"Moderate","Stretch")))</f>
        <v>Strong</v>
      </c>
      <c r="Q286" s="12"/>
      <c r="R286" s="12"/>
      <c r="S286" s="12" t="s">
        <v>1588</v>
      </c>
      <c r="T286" s="12"/>
      <c r="U286" s="12"/>
      <c r="V286" s="14" t="s">
        <v>203</v>
      </c>
      <c r="W286" s="14"/>
      <c r="X286" s="15"/>
      <c r="Y286" s="14"/>
      <c r="Z286" s="24"/>
    </row>
    <row r="287" customFormat="false" ht="23.85" hidden="false" customHeight="false" outlineLevel="0" collapsed="false">
      <c r="A287" s="11" t="n">
        <v>286</v>
      </c>
      <c r="B287" s="11" t="s">
        <v>4</v>
      </c>
      <c r="C287" s="11" t="s">
        <v>1653</v>
      </c>
      <c r="D287" s="11" t="s">
        <v>1654</v>
      </c>
      <c r="E287" s="20" t="s">
        <v>627</v>
      </c>
      <c r="F287" s="11" t="s">
        <v>1199</v>
      </c>
      <c r="G287" s="11" t="s">
        <v>204</v>
      </c>
      <c r="H287" s="11" t="s">
        <v>204</v>
      </c>
      <c r="I287" s="11" t="s">
        <v>204</v>
      </c>
      <c r="J287" s="11" t="s">
        <v>184</v>
      </c>
      <c r="K287" s="13" t="n">
        <v>110</v>
      </c>
      <c r="L287" s="13" t="n">
        <v>20</v>
      </c>
      <c r="M287" s="13" t="n">
        <f aca="false">K287+L287</f>
        <v>130</v>
      </c>
      <c r="N287" s="19" t="n">
        <v>6</v>
      </c>
      <c r="O287" s="19" t="n">
        <f aca="false">IF(N287&lt;=35,1,0.25)*M287/(N287+10)*IF(ISNUMBER(SEARCH("KD mismatch",U287)),0.25,1)</f>
        <v>8.125</v>
      </c>
      <c r="P287" s="20" t="str">
        <f aca="false">IF(N287&lt;=10,"Quick win",IF(N287&lt;=20,"Strong",IF(N287&lt;=35,"Moderate","Stretch")))</f>
        <v>Quick win</v>
      </c>
      <c r="Q287" s="12"/>
      <c r="R287" s="12"/>
      <c r="S287" s="12" t="s">
        <v>1017</v>
      </c>
      <c r="T287" s="12"/>
      <c r="U287" s="12"/>
      <c r="V287" s="14" t="s">
        <v>203</v>
      </c>
      <c r="W287" s="14"/>
      <c r="X287" s="15"/>
      <c r="Y287" s="14"/>
      <c r="Z287" s="24"/>
    </row>
    <row r="288" customFormat="false" ht="23.85" hidden="false" customHeight="false" outlineLevel="0" collapsed="false">
      <c r="A288" s="11" t="n">
        <v>287</v>
      </c>
      <c r="B288" s="11" t="s">
        <v>4</v>
      </c>
      <c r="C288" s="11" t="s">
        <v>1655</v>
      </c>
      <c r="D288" s="11" t="s">
        <v>1656</v>
      </c>
      <c r="E288" s="20" t="s">
        <v>648</v>
      </c>
      <c r="F288" s="11" t="s">
        <v>1308</v>
      </c>
      <c r="G288" s="11" t="s">
        <v>227</v>
      </c>
      <c r="H288" s="11" t="s">
        <v>228</v>
      </c>
      <c r="I288" s="11" t="s">
        <v>227</v>
      </c>
      <c r="J288" s="11" t="s">
        <v>71</v>
      </c>
      <c r="K288" s="13" t="n">
        <v>110</v>
      </c>
      <c r="L288" s="13" t="n">
        <v>50</v>
      </c>
      <c r="M288" s="13" t="n">
        <f aca="false">K288+L288</f>
        <v>160</v>
      </c>
      <c r="N288" s="19" t="n">
        <v>9.7</v>
      </c>
      <c r="O288" s="19" t="n">
        <f aca="false">IF(N288&lt;=35,1,0.25)*M288/(N288+10)*IF(ISNUMBER(SEARCH("KD mismatch",U288)),0.25,1)</f>
        <v>8.12182741116751</v>
      </c>
      <c r="P288" s="20" t="str">
        <f aca="false">IF(N288&lt;=10,"Quick win",IF(N288&lt;=20,"Strong",IF(N288&lt;=35,"Moderate","Stretch")))</f>
        <v>Quick win</v>
      </c>
      <c r="Q288" s="12"/>
      <c r="R288" s="12"/>
      <c r="S288" s="12" t="s">
        <v>745</v>
      </c>
      <c r="T288" s="12"/>
      <c r="U288" s="12"/>
      <c r="V288" s="14" t="s">
        <v>203</v>
      </c>
      <c r="W288" s="14"/>
      <c r="X288" s="15"/>
      <c r="Y288" s="14"/>
      <c r="Z288" s="24"/>
    </row>
    <row r="289" customFormat="false" ht="23.85" hidden="false" customHeight="false" outlineLevel="0" collapsed="false">
      <c r="A289" s="11" t="n">
        <v>288</v>
      </c>
      <c r="B289" s="11" t="s">
        <v>4</v>
      </c>
      <c r="C289" s="11" t="s">
        <v>1657</v>
      </c>
      <c r="D289" s="11" t="s">
        <v>1658</v>
      </c>
      <c r="E289" s="20" t="s">
        <v>648</v>
      </c>
      <c r="F289" s="11" t="s">
        <v>692</v>
      </c>
      <c r="G289" s="11" t="s">
        <v>282</v>
      </c>
      <c r="H289" s="11" t="s">
        <v>283</v>
      </c>
      <c r="I289" s="11" t="s">
        <v>282</v>
      </c>
      <c r="J289" s="11" t="s">
        <v>71</v>
      </c>
      <c r="K289" s="13" t="n">
        <v>110</v>
      </c>
      <c r="L289" s="13" t="n">
        <v>50</v>
      </c>
      <c r="M289" s="13" t="n">
        <f aca="false">K289+L289</f>
        <v>160</v>
      </c>
      <c r="N289" s="19" t="n">
        <v>9.8</v>
      </c>
      <c r="O289" s="19" t="n">
        <f aca="false">IF(N289&lt;=35,1,0.25)*M289/(N289+10)*IF(ISNUMBER(SEARCH("KD mismatch",U289)),0.25,1)</f>
        <v>8.08080808080808</v>
      </c>
      <c r="P289" s="20" t="str">
        <f aca="false">IF(N289&lt;=10,"Quick win",IF(N289&lt;=20,"Strong",IF(N289&lt;=35,"Moderate","Stretch")))</f>
        <v>Quick win</v>
      </c>
      <c r="Q289" s="12"/>
      <c r="R289" s="12"/>
      <c r="S289" s="12" t="s">
        <v>934</v>
      </c>
      <c r="T289" s="12" t="s">
        <v>856</v>
      </c>
      <c r="U289" s="12"/>
      <c r="V289" s="14" t="s">
        <v>203</v>
      </c>
      <c r="W289" s="14"/>
      <c r="X289" s="15"/>
      <c r="Y289" s="14"/>
      <c r="Z289" s="24"/>
    </row>
    <row r="290" customFormat="false" ht="23.85" hidden="false" customHeight="false" outlineLevel="0" collapsed="false">
      <c r="A290" s="11" t="n">
        <v>289</v>
      </c>
      <c r="B290" s="11" t="s">
        <v>4</v>
      </c>
      <c r="C290" s="11" t="s">
        <v>1659</v>
      </c>
      <c r="D290" s="11" t="s">
        <v>1660</v>
      </c>
      <c r="E290" s="20" t="s">
        <v>648</v>
      </c>
      <c r="F290" s="11" t="s">
        <v>784</v>
      </c>
      <c r="G290" s="11" t="s">
        <v>1532</v>
      </c>
      <c r="H290" s="11" t="s">
        <v>385</v>
      </c>
      <c r="I290" s="11" t="s">
        <v>385</v>
      </c>
      <c r="J290" s="11" t="s">
        <v>143</v>
      </c>
      <c r="K290" s="13" t="n">
        <v>210</v>
      </c>
      <c r="L290" s="13" t="n">
        <v>0</v>
      </c>
      <c r="M290" s="13" t="n">
        <f aca="false">K290+L290</f>
        <v>210</v>
      </c>
      <c r="N290" s="19" t="n">
        <v>16</v>
      </c>
      <c r="O290" s="19" t="n">
        <f aca="false">IF(N290&lt;=35,1,0.25)*M290/(N290+10)*IF(ISNUMBER(SEARCH("KD mismatch",U290)),0.25,1)</f>
        <v>8.07692307692308</v>
      </c>
      <c r="P290" s="20" t="str">
        <f aca="false">IF(N290&lt;=10,"Quick win",IF(N290&lt;=20,"Strong",IF(N290&lt;=35,"Moderate","Stretch")))</f>
        <v>Strong</v>
      </c>
      <c r="Q290" s="12"/>
      <c r="R290" s="12"/>
      <c r="S290" s="12" t="s">
        <v>1661</v>
      </c>
      <c r="T290" s="12"/>
      <c r="U290" s="12"/>
      <c r="V290" s="14" t="s">
        <v>203</v>
      </c>
      <c r="W290" s="14"/>
      <c r="X290" s="15"/>
      <c r="Y290" s="14"/>
      <c r="Z290" s="24"/>
    </row>
    <row r="291" customFormat="false" ht="23.85" hidden="false" customHeight="false" outlineLevel="0" collapsed="false">
      <c r="A291" s="11" t="n">
        <v>290</v>
      </c>
      <c r="B291" s="11" t="s">
        <v>4</v>
      </c>
      <c r="C291" s="11" t="s">
        <v>1662</v>
      </c>
      <c r="D291" s="11" t="s">
        <v>1663</v>
      </c>
      <c r="E291" s="20" t="s">
        <v>627</v>
      </c>
      <c r="F291" s="11" t="s">
        <v>738</v>
      </c>
      <c r="G291" s="11" t="s">
        <v>224</v>
      </c>
      <c r="H291" s="11" t="s">
        <v>224</v>
      </c>
      <c r="I291" s="11" t="s">
        <v>224</v>
      </c>
      <c r="J291" s="11" t="s">
        <v>183</v>
      </c>
      <c r="K291" s="13" t="n">
        <v>0</v>
      </c>
      <c r="L291" s="13" t="n">
        <v>120</v>
      </c>
      <c r="M291" s="13" t="n">
        <f aca="false">K291+L291</f>
        <v>120</v>
      </c>
      <c r="N291" s="19" t="n">
        <v>5</v>
      </c>
      <c r="O291" s="19" t="n">
        <f aca="false">IF(N291&lt;=35,1,0.25)*M291/(N291+10)*IF(ISNUMBER(SEARCH("KD mismatch",U291)),0.25,1)</f>
        <v>8</v>
      </c>
      <c r="P291" s="20" t="str">
        <f aca="false">IF(N291&lt;=10,"Quick win",IF(N291&lt;=20,"Strong",IF(N291&lt;=35,"Moderate","Stretch")))</f>
        <v>Quick win</v>
      </c>
      <c r="Q291" s="12"/>
      <c r="R291" s="12"/>
      <c r="S291" s="12" t="s">
        <v>1664</v>
      </c>
      <c r="T291" s="12" t="s">
        <v>1518</v>
      </c>
      <c r="U291" s="12"/>
      <c r="V291" s="14" t="s">
        <v>203</v>
      </c>
      <c r="W291" s="14"/>
      <c r="X291" s="15"/>
      <c r="Y291" s="14"/>
      <c r="Z291" s="24"/>
    </row>
    <row r="292" customFormat="false" ht="23.85" hidden="false" customHeight="false" outlineLevel="0" collapsed="false">
      <c r="A292" s="11" t="n">
        <v>291</v>
      </c>
      <c r="B292" s="11" t="s">
        <v>4</v>
      </c>
      <c r="C292" s="11" t="s">
        <v>1665</v>
      </c>
      <c r="D292" s="11" t="s">
        <v>1666</v>
      </c>
      <c r="E292" s="20" t="s">
        <v>648</v>
      </c>
      <c r="F292" s="11" t="s">
        <v>649</v>
      </c>
      <c r="G292" s="11" t="s">
        <v>106</v>
      </c>
      <c r="H292" s="11" t="s">
        <v>196</v>
      </c>
      <c r="I292" s="11" t="s">
        <v>106</v>
      </c>
      <c r="J292" s="11" t="s">
        <v>71</v>
      </c>
      <c r="K292" s="13" t="n">
        <v>30</v>
      </c>
      <c r="L292" s="13" t="n">
        <v>290</v>
      </c>
      <c r="M292" s="13" t="n">
        <f aca="false">K292+L292</f>
        <v>320</v>
      </c>
      <c r="N292" s="19" t="n">
        <v>30.3</v>
      </c>
      <c r="O292" s="19" t="n">
        <f aca="false">IF(N292&lt;=35,1,0.25)*M292/(N292+10)*IF(ISNUMBER(SEARCH("KD mismatch",U292)),0.25,1)</f>
        <v>7.94044665012407</v>
      </c>
      <c r="P292" s="20" t="str">
        <f aca="false">IF(N292&lt;=10,"Quick win",IF(N292&lt;=20,"Strong",IF(N292&lt;=35,"Moderate","Stretch")))</f>
        <v>Moderate</v>
      </c>
      <c r="Q292" s="12" t="s">
        <v>1667</v>
      </c>
      <c r="R292" s="12" t="s">
        <v>1668</v>
      </c>
      <c r="S292" s="12" t="s">
        <v>1537</v>
      </c>
      <c r="T292" s="12" t="s">
        <v>674</v>
      </c>
      <c r="U292" s="12"/>
      <c r="V292" s="14" t="s">
        <v>203</v>
      </c>
      <c r="W292" s="14"/>
      <c r="X292" s="15"/>
      <c r="Y292" s="14"/>
      <c r="Z292" s="24"/>
    </row>
    <row r="293" customFormat="false" ht="23.85" hidden="false" customHeight="false" outlineLevel="0" collapsed="false">
      <c r="A293" s="11" t="n">
        <v>292</v>
      </c>
      <c r="B293" s="11" t="s">
        <v>4</v>
      </c>
      <c r="C293" s="11" t="s">
        <v>1669</v>
      </c>
      <c r="D293" s="11" t="s">
        <v>1670</v>
      </c>
      <c r="E293" s="20" t="s">
        <v>648</v>
      </c>
      <c r="F293" s="11" t="s">
        <v>692</v>
      </c>
      <c r="G293" s="11" t="s">
        <v>256</v>
      </c>
      <c r="H293" s="11" t="s">
        <v>257</v>
      </c>
      <c r="I293" s="11" t="s">
        <v>256</v>
      </c>
      <c r="J293" s="11" t="s">
        <v>71</v>
      </c>
      <c r="K293" s="13" t="n">
        <v>110</v>
      </c>
      <c r="L293" s="13" t="n">
        <v>0</v>
      </c>
      <c r="M293" s="13" t="n">
        <f aca="false">K293+L293</f>
        <v>110</v>
      </c>
      <c r="N293" s="19" t="n">
        <v>4</v>
      </c>
      <c r="O293" s="19" t="n">
        <f aca="false">IF(N293&lt;=35,1,0.25)*M293/(N293+10)*IF(ISNUMBER(SEARCH("KD mismatch",U293)),0.25,1)</f>
        <v>7.85714285714286</v>
      </c>
      <c r="P293" s="20" t="str">
        <f aca="false">IF(N293&lt;=10,"Quick win",IF(N293&lt;=20,"Strong",IF(N293&lt;=35,"Moderate","Stretch")))</f>
        <v>Quick win</v>
      </c>
      <c r="Q293" s="12"/>
      <c r="R293" s="12"/>
      <c r="S293" s="12" t="s">
        <v>812</v>
      </c>
      <c r="T293" s="12"/>
      <c r="U293" s="12"/>
      <c r="V293" s="14" t="s">
        <v>203</v>
      </c>
      <c r="W293" s="14"/>
      <c r="X293" s="15"/>
      <c r="Y293" s="14"/>
      <c r="Z293" s="24"/>
    </row>
    <row r="294" customFormat="false" ht="23.85" hidden="false" customHeight="false" outlineLevel="0" collapsed="false">
      <c r="A294" s="11" t="n">
        <v>293</v>
      </c>
      <c r="B294" s="11" t="s">
        <v>4</v>
      </c>
      <c r="C294" s="11" t="s">
        <v>1671</v>
      </c>
      <c r="D294" s="11" t="s">
        <v>1672</v>
      </c>
      <c r="E294" s="20" t="s">
        <v>648</v>
      </c>
      <c r="F294" s="11" t="s">
        <v>649</v>
      </c>
      <c r="G294" s="11" t="s">
        <v>1012</v>
      </c>
      <c r="H294" s="11" t="s">
        <v>311</v>
      </c>
      <c r="I294" s="11" t="s">
        <v>311</v>
      </c>
      <c r="J294" s="11" t="s">
        <v>71</v>
      </c>
      <c r="K294" s="13" t="n">
        <v>180</v>
      </c>
      <c r="L294" s="13" t="n">
        <v>0</v>
      </c>
      <c r="M294" s="13" t="n">
        <f aca="false">K294+L294</f>
        <v>180</v>
      </c>
      <c r="N294" s="19" t="n">
        <v>13</v>
      </c>
      <c r="O294" s="19" t="n">
        <f aca="false">IF(N294&lt;=35,1,0.25)*M294/(N294+10)*IF(ISNUMBER(SEARCH("KD mismatch",U294)),0.25,1)</f>
        <v>7.82608695652174</v>
      </c>
      <c r="P294" s="20" t="str">
        <f aca="false">IF(N294&lt;=10,"Quick win",IF(N294&lt;=20,"Strong",IF(N294&lt;=35,"Moderate","Stretch")))</f>
        <v>Strong</v>
      </c>
      <c r="Q294" s="12"/>
      <c r="R294" s="12"/>
      <c r="S294" s="12" t="s">
        <v>1673</v>
      </c>
      <c r="T294" s="12"/>
      <c r="U294" s="12"/>
      <c r="V294" s="14" t="s">
        <v>203</v>
      </c>
      <c r="W294" s="14"/>
      <c r="X294" s="15"/>
      <c r="Y294" s="14"/>
      <c r="Z294" s="24"/>
    </row>
    <row r="295" customFormat="false" ht="23.85" hidden="false" customHeight="false" outlineLevel="0" collapsed="false">
      <c r="A295" s="11" t="n">
        <v>294</v>
      </c>
      <c r="B295" s="11" t="s">
        <v>4</v>
      </c>
      <c r="C295" s="11" t="s">
        <v>1674</v>
      </c>
      <c r="D295" s="11" t="s">
        <v>1675</v>
      </c>
      <c r="E295" s="20" t="s">
        <v>648</v>
      </c>
      <c r="F295" s="11" t="s">
        <v>700</v>
      </c>
      <c r="G295" s="11" t="s">
        <v>373</v>
      </c>
      <c r="H295" s="11" t="s">
        <v>224</v>
      </c>
      <c r="I295" s="11" t="s">
        <v>373</v>
      </c>
      <c r="J295" s="11" t="s">
        <v>143</v>
      </c>
      <c r="K295" s="13" t="n">
        <v>140</v>
      </c>
      <c r="L295" s="13" t="n">
        <v>0</v>
      </c>
      <c r="M295" s="13" t="n">
        <f aca="false">K295+L295</f>
        <v>140</v>
      </c>
      <c r="N295" s="19" t="n">
        <v>8</v>
      </c>
      <c r="O295" s="19" t="n">
        <f aca="false">IF(N295&lt;=35,1,0.25)*M295/(N295+10)*IF(ISNUMBER(SEARCH("KD mismatch",U295)),0.25,1)</f>
        <v>7.77777777777778</v>
      </c>
      <c r="P295" s="20" t="str">
        <f aca="false">IF(N295&lt;=10,"Quick win",IF(N295&lt;=20,"Strong",IF(N295&lt;=35,"Moderate","Stretch")))</f>
        <v>Quick win</v>
      </c>
      <c r="Q295" s="12"/>
      <c r="R295" s="12"/>
      <c r="S295" s="12" t="s">
        <v>1676</v>
      </c>
      <c r="T295" s="12"/>
      <c r="U295" s="12"/>
      <c r="V295" s="14" t="s">
        <v>203</v>
      </c>
      <c r="W295" s="14"/>
      <c r="X295" s="15"/>
      <c r="Y295" s="14"/>
      <c r="Z295" s="24"/>
    </row>
    <row r="296" customFormat="false" ht="23.85" hidden="false" customHeight="false" outlineLevel="0" collapsed="false">
      <c r="A296" s="11" t="n">
        <v>295</v>
      </c>
      <c r="B296" s="11" t="s">
        <v>4</v>
      </c>
      <c r="C296" s="11" t="s">
        <v>1677</v>
      </c>
      <c r="D296" s="11" t="s">
        <v>1678</v>
      </c>
      <c r="E296" s="20" t="s">
        <v>627</v>
      </c>
      <c r="F296" s="11" t="s">
        <v>1199</v>
      </c>
      <c r="G296" s="11" t="s">
        <v>228</v>
      </c>
      <c r="H296" s="11" t="s">
        <v>228</v>
      </c>
      <c r="I296" s="11" t="s">
        <v>228</v>
      </c>
      <c r="J296" s="11" t="s">
        <v>184</v>
      </c>
      <c r="K296" s="13" t="n">
        <v>140</v>
      </c>
      <c r="L296" s="13" t="n">
        <v>0</v>
      </c>
      <c r="M296" s="13" t="n">
        <f aca="false">K296+L296</f>
        <v>140</v>
      </c>
      <c r="N296" s="19" t="n">
        <v>8</v>
      </c>
      <c r="O296" s="19" t="n">
        <f aca="false">IF(N296&lt;=35,1,0.25)*M296/(N296+10)*IF(ISNUMBER(SEARCH("KD mismatch",U296)),0.25,1)</f>
        <v>7.77777777777778</v>
      </c>
      <c r="P296" s="20" t="str">
        <f aca="false">IF(N296&lt;=10,"Quick win",IF(N296&lt;=20,"Strong",IF(N296&lt;=35,"Moderate","Stretch")))</f>
        <v>Quick win</v>
      </c>
      <c r="Q296" s="12"/>
      <c r="R296" s="12"/>
      <c r="S296" s="12" t="s">
        <v>1588</v>
      </c>
      <c r="T296" s="12"/>
      <c r="U296" s="12"/>
      <c r="V296" s="14" t="s">
        <v>203</v>
      </c>
      <c r="W296" s="14"/>
      <c r="X296" s="15"/>
      <c r="Y296" s="14"/>
      <c r="Z296" s="24"/>
    </row>
    <row r="297" customFormat="false" ht="23.85" hidden="false" customHeight="false" outlineLevel="0" collapsed="false">
      <c r="A297" s="11" t="n">
        <v>296</v>
      </c>
      <c r="B297" s="11" t="s">
        <v>4</v>
      </c>
      <c r="C297" s="11" t="s">
        <v>1679</v>
      </c>
      <c r="D297" s="11" t="s">
        <v>1680</v>
      </c>
      <c r="E297" s="20" t="s">
        <v>648</v>
      </c>
      <c r="F297" s="11" t="s">
        <v>700</v>
      </c>
      <c r="G297" s="11" t="s">
        <v>298</v>
      </c>
      <c r="H297" s="11" t="s">
        <v>214</v>
      </c>
      <c r="I297" s="11" t="s">
        <v>298</v>
      </c>
      <c r="J297" s="11" t="s">
        <v>143</v>
      </c>
      <c r="K297" s="13" t="n">
        <v>80</v>
      </c>
      <c r="L297" s="13" t="n">
        <v>110</v>
      </c>
      <c r="M297" s="13" t="n">
        <f aca="false">K297+L297</f>
        <v>190</v>
      </c>
      <c r="N297" s="19" t="n">
        <v>14.5</v>
      </c>
      <c r="O297" s="19" t="n">
        <f aca="false">IF(N297&lt;=35,1,0.25)*M297/(N297+10)*IF(ISNUMBER(SEARCH("KD mismatch",U297)),0.25,1)</f>
        <v>7.75510204081633</v>
      </c>
      <c r="P297" s="20" t="str">
        <f aca="false">IF(N297&lt;=10,"Quick win",IF(N297&lt;=20,"Strong",IF(N297&lt;=35,"Moderate","Stretch")))</f>
        <v>Strong</v>
      </c>
      <c r="Q297" s="12"/>
      <c r="R297" s="12"/>
      <c r="S297" s="12" t="s">
        <v>1681</v>
      </c>
      <c r="T297" s="12"/>
      <c r="U297" s="12"/>
      <c r="V297" s="14" t="s">
        <v>203</v>
      </c>
      <c r="W297" s="14"/>
      <c r="X297" s="15"/>
      <c r="Y297" s="14"/>
      <c r="Z297" s="24"/>
    </row>
    <row r="298" customFormat="false" ht="23.85" hidden="false" customHeight="false" outlineLevel="0" collapsed="false">
      <c r="A298" s="11" t="n">
        <v>297</v>
      </c>
      <c r="B298" s="11" t="s">
        <v>4</v>
      </c>
      <c r="C298" s="11" t="s">
        <v>1682</v>
      </c>
      <c r="D298" s="11" t="s">
        <v>1683</v>
      </c>
      <c r="E298" s="20" t="s">
        <v>648</v>
      </c>
      <c r="F298" s="11" t="s">
        <v>649</v>
      </c>
      <c r="G298" s="11" t="s">
        <v>1684</v>
      </c>
      <c r="H298" s="11" t="s">
        <v>311</v>
      </c>
      <c r="I298" s="11" t="s">
        <v>311</v>
      </c>
      <c r="J298" s="11" t="s">
        <v>71</v>
      </c>
      <c r="K298" s="13" t="n">
        <v>120</v>
      </c>
      <c r="L298" s="13" t="n">
        <v>0</v>
      </c>
      <c r="M298" s="13" t="n">
        <f aca="false">K298+L298</f>
        <v>120</v>
      </c>
      <c r="N298" s="19" t="n">
        <v>6</v>
      </c>
      <c r="O298" s="19" t="n">
        <f aca="false">IF(N298&lt;=35,1,0.25)*M298/(N298+10)*IF(ISNUMBER(SEARCH("KD mismatch",U298)),0.25,1)</f>
        <v>7.5</v>
      </c>
      <c r="P298" s="20" t="str">
        <f aca="false">IF(N298&lt;=10,"Quick win",IF(N298&lt;=20,"Strong",IF(N298&lt;=35,"Moderate","Stretch")))</f>
        <v>Quick win</v>
      </c>
      <c r="Q298" s="12"/>
      <c r="R298" s="12"/>
      <c r="S298" s="12" t="s">
        <v>1685</v>
      </c>
      <c r="T298" s="12"/>
      <c r="U298" s="12"/>
      <c r="V298" s="14" t="s">
        <v>203</v>
      </c>
      <c r="W298" s="14"/>
      <c r="X298" s="15"/>
      <c r="Y298" s="14"/>
      <c r="Z298" s="24"/>
    </row>
    <row r="299" customFormat="false" ht="23.85" hidden="false" customHeight="false" outlineLevel="0" collapsed="false">
      <c r="A299" s="11" t="n">
        <v>298</v>
      </c>
      <c r="B299" s="11" t="s">
        <v>4</v>
      </c>
      <c r="C299" s="11" t="s">
        <v>1686</v>
      </c>
      <c r="D299" s="11" t="s">
        <v>1687</v>
      </c>
      <c r="E299" s="20" t="s">
        <v>627</v>
      </c>
      <c r="F299" s="11" t="s">
        <v>642</v>
      </c>
      <c r="G299" s="11" t="s">
        <v>409</v>
      </c>
      <c r="H299" s="11" t="s">
        <v>214</v>
      </c>
      <c r="I299" s="11" t="s">
        <v>409</v>
      </c>
      <c r="J299" s="11" t="s">
        <v>56</v>
      </c>
      <c r="K299" s="13" t="n">
        <v>140</v>
      </c>
      <c r="L299" s="13" t="n">
        <v>0</v>
      </c>
      <c r="M299" s="13" t="n">
        <f aca="false">K299+L299</f>
        <v>140</v>
      </c>
      <c r="N299" s="19" t="n">
        <v>9</v>
      </c>
      <c r="O299" s="19" t="n">
        <f aca="false">IF(N299&lt;=35,1,0.25)*M299/(N299+10)*IF(ISNUMBER(SEARCH("KD mismatch",U299)),0.25,1)</f>
        <v>7.36842105263158</v>
      </c>
      <c r="P299" s="20" t="str">
        <f aca="false">IF(N299&lt;=10,"Quick win",IF(N299&lt;=20,"Strong",IF(N299&lt;=35,"Moderate","Stretch")))</f>
        <v>Quick win</v>
      </c>
      <c r="Q299" s="12"/>
      <c r="R299" s="12"/>
      <c r="S299" s="12" t="s">
        <v>1688</v>
      </c>
      <c r="T299" s="12"/>
      <c r="U299" s="12"/>
      <c r="V299" s="14" t="s">
        <v>203</v>
      </c>
      <c r="W299" s="14"/>
      <c r="X299" s="15"/>
      <c r="Y299" s="14"/>
      <c r="Z299" s="24"/>
    </row>
    <row r="300" customFormat="false" ht="23.85" hidden="false" customHeight="false" outlineLevel="0" collapsed="false">
      <c r="A300" s="11" t="n">
        <v>299</v>
      </c>
      <c r="B300" s="11" t="s">
        <v>4</v>
      </c>
      <c r="C300" s="11" t="s">
        <v>1689</v>
      </c>
      <c r="D300" s="11" t="s">
        <v>1690</v>
      </c>
      <c r="E300" s="20" t="s">
        <v>648</v>
      </c>
      <c r="F300" s="11" t="s">
        <v>692</v>
      </c>
      <c r="G300" s="11" t="s">
        <v>373</v>
      </c>
      <c r="H300" s="11" t="s">
        <v>224</v>
      </c>
      <c r="I300" s="11" t="s">
        <v>373</v>
      </c>
      <c r="J300" s="11" t="s">
        <v>71</v>
      </c>
      <c r="K300" s="13" t="n">
        <v>110</v>
      </c>
      <c r="L300" s="13" t="n">
        <v>0</v>
      </c>
      <c r="M300" s="13" t="n">
        <f aca="false">K300+L300</f>
        <v>110</v>
      </c>
      <c r="N300" s="19" t="n">
        <v>5</v>
      </c>
      <c r="O300" s="19" t="n">
        <f aca="false">IF(N300&lt;=35,1,0.25)*M300/(N300+10)*IF(ISNUMBER(SEARCH("KD mismatch",U300)),0.25,1)</f>
        <v>7.33333333333333</v>
      </c>
      <c r="P300" s="20" t="str">
        <f aca="false">IF(N300&lt;=10,"Quick win",IF(N300&lt;=20,"Strong",IF(N300&lt;=35,"Moderate","Stretch")))</f>
        <v>Quick win</v>
      </c>
      <c r="Q300" s="12"/>
      <c r="R300" s="12"/>
      <c r="S300" s="12" t="s">
        <v>1691</v>
      </c>
      <c r="T300" s="12"/>
      <c r="U300" s="12"/>
      <c r="V300" s="14" t="s">
        <v>203</v>
      </c>
      <c r="W300" s="14"/>
      <c r="X300" s="15"/>
      <c r="Y300" s="14"/>
      <c r="Z300" s="24"/>
    </row>
    <row r="301" customFormat="false" ht="23.85" hidden="false" customHeight="false" outlineLevel="0" collapsed="false">
      <c r="A301" s="11" t="n">
        <v>300</v>
      </c>
      <c r="B301" s="11" t="s">
        <v>4</v>
      </c>
      <c r="C301" s="11" t="s">
        <v>1692</v>
      </c>
      <c r="D301" s="11" t="s">
        <v>1693</v>
      </c>
      <c r="E301" s="20" t="s">
        <v>648</v>
      </c>
      <c r="F301" s="11" t="s">
        <v>1212</v>
      </c>
      <c r="G301" s="11" t="s">
        <v>1016</v>
      </c>
      <c r="H301" s="11" t="s">
        <v>204</v>
      </c>
      <c r="I301" s="11" t="s">
        <v>204</v>
      </c>
      <c r="J301" s="11" t="s">
        <v>71</v>
      </c>
      <c r="K301" s="13" t="n">
        <v>110</v>
      </c>
      <c r="L301" s="13" t="n">
        <v>0</v>
      </c>
      <c r="M301" s="13" t="n">
        <f aca="false">K301+L301</f>
        <v>110</v>
      </c>
      <c r="N301" s="19" t="n">
        <v>5</v>
      </c>
      <c r="O301" s="19" t="n">
        <f aca="false">IF(N301&lt;=35,1,0.25)*M301/(N301+10)*IF(ISNUMBER(SEARCH("KD mismatch",U301)),0.25,1)</f>
        <v>7.33333333333333</v>
      </c>
      <c r="P301" s="20" t="str">
        <f aca="false">IF(N301&lt;=10,"Quick win",IF(N301&lt;=20,"Strong",IF(N301&lt;=35,"Moderate","Stretch")))</f>
        <v>Quick win</v>
      </c>
      <c r="Q301" s="12"/>
      <c r="R301" s="12"/>
      <c r="S301" s="12" t="s">
        <v>1213</v>
      </c>
      <c r="T301" s="12"/>
      <c r="U301" s="12"/>
      <c r="V301" s="14" t="s">
        <v>203</v>
      </c>
      <c r="W301" s="14"/>
      <c r="X301" s="15"/>
      <c r="Y301" s="14"/>
      <c r="Z301" s="24"/>
    </row>
    <row r="302" customFormat="false" ht="23.85" hidden="false" customHeight="false" outlineLevel="0" collapsed="false">
      <c r="A302" s="11" t="n">
        <v>301</v>
      </c>
      <c r="B302" s="11" t="s">
        <v>5</v>
      </c>
      <c r="C302" s="11" t="s">
        <v>1694</v>
      </c>
      <c r="D302" s="11" t="s">
        <v>1695</v>
      </c>
      <c r="E302" s="20" t="s">
        <v>648</v>
      </c>
      <c r="F302" s="11" t="s">
        <v>1696</v>
      </c>
      <c r="G302" s="11" t="s">
        <v>333</v>
      </c>
      <c r="H302" s="11" t="s">
        <v>334</v>
      </c>
      <c r="I302" s="11" t="s">
        <v>333</v>
      </c>
      <c r="J302" s="11" t="s">
        <v>71</v>
      </c>
      <c r="K302" s="13" t="n">
        <v>110</v>
      </c>
      <c r="L302" s="13" t="n">
        <v>0</v>
      </c>
      <c r="M302" s="13" t="n">
        <f aca="false">K302+L302</f>
        <v>110</v>
      </c>
      <c r="N302" s="19" t="n">
        <v>5</v>
      </c>
      <c r="O302" s="19" t="n">
        <f aca="false">IF(N302&lt;=35,1,0.25)*M302/(N302+10)*IF(ISNUMBER(SEARCH("KD mismatch",U302)),0.25,1)</f>
        <v>7.33333333333333</v>
      </c>
      <c r="P302" s="20" t="str">
        <f aca="false">IF(N302&lt;=10,"Quick win",IF(N302&lt;=20,"Strong",IF(N302&lt;=35,"Moderate","Stretch")))</f>
        <v>Quick win</v>
      </c>
      <c r="Q302" s="12"/>
      <c r="R302" s="12"/>
      <c r="S302" s="12" t="s">
        <v>1490</v>
      </c>
      <c r="T302" s="12"/>
      <c r="U302" s="12"/>
      <c r="V302" s="14" t="s">
        <v>203</v>
      </c>
      <c r="W302" s="14"/>
      <c r="X302" s="15"/>
      <c r="Y302" s="14"/>
      <c r="Z302" s="24"/>
    </row>
    <row r="303" customFormat="false" ht="23.85" hidden="false" customHeight="false" outlineLevel="0" collapsed="false">
      <c r="A303" s="11" t="n">
        <v>302</v>
      </c>
      <c r="B303" s="11" t="s">
        <v>5</v>
      </c>
      <c r="C303" s="11" t="s">
        <v>1697</v>
      </c>
      <c r="D303" s="11" t="s">
        <v>1698</v>
      </c>
      <c r="E303" s="20" t="s">
        <v>627</v>
      </c>
      <c r="F303" s="11" t="s">
        <v>738</v>
      </c>
      <c r="G303" s="11" t="s">
        <v>1699</v>
      </c>
      <c r="H303" s="11" t="s">
        <v>283</v>
      </c>
      <c r="I303" s="11" t="s">
        <v>283</v>
      </c>
      <c r="J303" s="11" t="s">
        <v>183</v>
      </c>
      <c r="K303" s="13" t="n">
        <v>170</v>
      </c>
      <c r="L303" s="13" t="n">
        <v>0</v>
      </c>
      <c r="M303" s="13" t="n">
        <f aca="false">K303+L303</f>
        <v>170</v>
      </c>
      <c r="N303" s="19" t="n">
        <v>14</v>
      </c>
      <c r="O303" s="19" t="n">
        <f aca="false">IF(N303&lt;=35,1,0.25)*M303/(N303+10)*IF(ISNUMBER(SEARCH("KD mismatch",U303)),0.25,1)</f>
        <v>7.08333333333333</v>
      </c>
      <c r="P303" s="20" t="str">
        <f aca="false">IF(N303&lt;=10,"Quick win",IF(N303&lt;=20,"Strong",IF(N303&lt;=35,"Moderate","Stretch")))</f>
        <v>Strong</v>
      </c>
      <c r="Q303" s="12"/>
      <c r="R303" s="12"/>
      <c r="S303" s="12" t="s">
        <v>1700</v>
      </c>
      <c r="T303" s="12"/>
      <c r="U303" s="12"/>
      <c r="V303" s="14" t="s">
        <v>203</v>
      </c>
      <c r="W303" s="14"/>
      <c r="X303" s="15"/>
      <c r="Y303" s="14"/>
      <c r="Z303" s="24"/>
    </row>
    <row r="304" customFormat="false" ht="23.85" hidden="false" customHeight="false" outlineLevel="0" collapsed="false">
      <c r="A304" s="11" t="n">
        <v>303</v>
      </c>
      <c r="B304" s="11" t="s">
        <v>5</v>
      </c>
      <c r="C304" s="11" t="s">
        <v>1701</v>
      </c>
      <c r="D304" s="11" t="s">
        <v>1702</v>
      </c>
      <c r="E304" s="20" t="s">
        <v>627</v>
      </c>
      <c r="F304" s="11" t="s">
        <v>738</v>
      </c>
      <c r="G304" s="11" t="s">
        <v>1703</v>
      </c>
      <c r="H304" s="11" t="s">
        <v>204</v>
      </c>
      <c r="I304" s="11" t="s">
        <v>204</v>
      </c>
      <c r="J304" s="11" t="s">
        <v>183</v>
      </c>
      <c r="K304" s="13" t="n">
        <v>70</v>
      </c>
      <c r="L304" s="13" t="n">
        <v>40</v>
      </c>
      <c r="M304" s="13" t="n">
        <f aca="false">K304+L304</f>
        <v>110</v>
      </c>
      <c r="N304" s="19" t="n">
        <v>5.6</v>
      </c>
      <c r="O304" s="19" t="n">
        <f aca="false">IF(N304&lt;=35,1,0.25)*M304/(N304+10)*IF(ISNUMBER(SEARCH("KD mismatch",U304)),0.25,1)</f>
        <v>7.05128205128205</v>
      </c>
      <c r="P304" s="20" t="str">
        <f aca="false">IF(N304&lt;=10,"Quick win",IF(N304&lt;=20,"Strong",IF(N304&lt;=35,"Moderate","Stretch")))</f>
        <v>Quick win</v>
      </c>
      <c r="Q304" s="12"/>
      <c r="R304" s="12"/>
      <c r="S304" s="12" t="s">
        <v>1704</v>
      </c>
      <c r="T304" s="12"/>
      <c r="U304" s="12"/>
      <c r="V304" s="14" t="s">
        <v>203</v>
      </c>
      <c r="W304" s="14"/>
      <c r="X304" s="15"/>
      <c r="Y304" s="14"/>
      <c r="Z304" s="24"/>
    </row>
    <row r="305" customFormat="false" ht="23.85" hidden="false" customHeight="false" outlineLevel="0" collapsed="false">
      <c r="A305" s="11" t="n">
        <v>304</v>
      </c>
      <c r="B305" s="11" t="s">
        <v>5</v>
      </c>
      <c r="C305" s="11" t="s">
        <v>1705</v>
      </c>
      <c r="D305" s="11" t="s">
        <v>1706</v>
      </c>
      <c r="E305" s="20" t="s">
        <v>627</v>
      </c>
      <c r="F305" s="11" t="s">
        <v>738</v>
      </c>
      <c r="G305" s="11" t="s">
        <v>1707</v>
      </c>
      <c r="H305" s="11" t="s">
        <v>204</v>
      </c>
      <c r="I305" s="11" t="s">
        <v>204</v>
      </c>
      <c r="J305" s="11" t="s">
        <v>183</v>
      </c>
      <c r="K305" s="13" t="n">
        <v>260</v>
      </c>
      <c r="L305" s="13" t="n">
        <v>0</v>
      </c>
      <c r="M305" s="13" t="n">
        <f aca="false">K305+L305</f>
        <v>260</v>
      </c>
      <c r="N305" s="19" t="n">
        <v>27</v>
      </c>
      <c r="O305" s="19" t="n">
        <f aca="false">IF(N305&lt;=35,1,0.25)*M305/(N305+10)*IF(ISNUMBER(SEARCH("KD mismatch",U305)),0.25,1)</f>
        <v>7.02702702702703</v>
      </c>
      <c r="P305" s="20" t="str">
        <f aca="false">IF(N305&lt;=10,"Quick win",IF(N305&lt;=20,"Strong",IF(N305&lt;=35,"Moderate","Stretch")))</f>
        <v>Moderate</v>
      </c>
      <c r="Q305" s="12"/>
      <c r="R305" s="12"/>
      <c r="S305" s="12" t="s">
        <v>1708</v>
      </c>
      <c r="T305" s="12"/>
      <c r="U305" s="12"/>
      <c r="V305" s="14" t="s">
        <v>203</v>
      </c>
      <c r="W305" s="14"/>
      <c r="X305" s="15"/>
      <c r="Y305" s="14"/>
      <c r="Z305" s="24"/>
    </row>
    <row r="306" customFormat="false" ht="23.85" hidden="false" customHeight="false" outlineLevel="0" collapsed="false">
      <c r="A306" s="11" t="n">
        <v>305</v>
      </c>
      <c r="B306" s="11" t="s">
        <v>5</v>
      </c>
      <c r="C306" s="11" t="s">
        <v>1709</v>
      </c>
      <c r="D306" s="11" t="s">
        <v>1710</v>
      </c>
      <c r="E306" s="20" t="s">
        <v>648</v>
      </c>
      <c r="F306" s="11" t="s">
        <v>796</v>
      </c>
      <c r="G306" s="11" t="s">
        <v>382</v>
      </c>
      <c r="H306" s="11" t="s">
        <v>1065</v>
      </c>
      <c r="I306" s="11" t="s">
        <v>382</v>
      </c>
      <c r="J306" s="11" t="s">
        <v>71</v>
      </c>
      <c r="K306" s="13" t="n">
        <v>140</v>
      </c>
      <c r="L306" s="13" t="n">
        <v>0</v>
      </c>
      <c r="M306" s="13" t="n">
        <f aca="false">K306+L306</f>
        <v>140</v>
      </c>
      <c r="N306" s="19" t="n">
        <v>10</v>
      </c>
      <c r="O306" s="19" t="n">
        <f aca="false">IF(N306&lt;=35,1,0.25)*M306/(N306+10)*IF(ISNUMBER(SEARCH("KD mismatch",U306)),0.25,1)</f>
        <v>7</v>
      </c>
      <c r="P306" s="20" t="str">
        <f aca="false">IF(N306&lt;=10,"Quick win",IF(N306&lt;=20,"Strong",IF(N306&lt;=35,"Moderate","Stretch")))</f>
        <v>Quick win</v>
      </c>
      <c r="Q306" s="12"/>
      <c r="R306" s="12"/>
      <c r="S306" s="12" t="s">
        <v>1711</v>
      </c>
      <c r="T306" s="12"/>
      <c r="U306" s="12"/>
      <c r="V306" s="14" t="s">
        <v>203</v>
      </c>
      <c r="W306" s="14"/>
      <c r="X306" s="15"/>
      <c r="Y306" s="14"/>
      <c r="Z306" s="24"/>
    </row>
    <row r="307" customFormat="false" ht="23.85" hidden="false" customHeight="false" outlineLevel="0" collapsed="false">
      <c r="A307" s="11" t="n">
        <v>306</v>
      </c>
      <c r="B307" s="11" t="s">
        <v>5</v>
      </c>
      <c r="C307" s="11" t="s">
        <v>1712</v>
      </c>
      <c r="D307" s="11" t="s">
        <v>1713</v>
      </c>
      <c r="E307" s="20" t="s">
        <v>648</v>
      </c>
      <c r="F307" s="11" t="s">
        <v>1308</v>
      </c>
      <c r="G307" s="11" t="s">
        <v>235</v>
      </c>
      <c r="H307" s="11" t="s">
        <v>687</v>
      </c>
      <c r="I307" s="11" t="s">
        <v>235</v>
      </c>
      <c r="J307" s="11" t="s">
        <v>71</v>
      </c>
      <c r="K307" s="13" t="n">
        <v>70</v>
      </c>
      <c r="L307" s="13" t="n">
        <v>70</v>
      </c>
      <c r="M307" s="13" t="n">
        <f aca="false">K307+L307</f>
        <v>140</v>
      </c>
      <c r="N307" s="19" t="n">
        <v>10.5</v>
      </c>
      <c r="O307" s="19" t="n">
        <f aca="false">IF(N307&lt;=35,1,0.25)*M307/(N307+10)*IF(ISNUMBER(SEARCH("KD mismatch",U307)),0.25,1)</f>
        <v>6.82926829268293</v>
      </c>
      <c r="P307" s="20" t="str">
        <f aca="false">IF(N307&lt;=10,"Quick win",IF(N307&lt;=20,"Strong",IF(N307&lt;=35,"Moderate","Stretch")))</f>
        <v>Strong</v>
      </c>
      <c r="Q307" s="12"/>
      <c r="R307" s="12"/>
      <c r="S307" s="12" t="s">
        <v>1209</v>
      </c>
      <c r="T307" s="12"/>
      <c r="U307" s="12"/>
      <c r="V307" s="14" t="s">
        <v>203</v>
      </c>
      <c r="W307" s="14"/>
      <c r="X307" s="15"/>
      <c r="Y307" s="14"/>
      <c r="Z307" s="24"/>
    </row>
    <row r="308" customFormat="false" ht="23.85" hidden="false" customHeight="false" outlineLevel="0" collapsed="false">
      <c r="A308" s="11" t="n">
        <v>307</v>
      </c>
      <c r="B308" s="11" t="s">
        <v>5</v>
      </c>
      <c r="C308" s="11" t="s">
        <v>1714</v>
      </c>
      <c r="D308" s="11" t="s">
        <v>1715</v>
      </c>
      <c r="E308" s="20" t="s">
        <v>648</v>
      </c>
      <c r="F308" s="11" t="s">
        <v>649</v>
      </c>
      <c r="G308" s="11" t="s">
        <v>290</v>
      </c>
      <c r="H308" s="11" t="s">
        <v>214</v>
      </c>
      <c r="I308" s="11" t="s">
        <v>290</v>
      </c>
      <c r="J308" s="11" t="s">
        <v>71</v>
      </c>
      <c r="K308" s="13" t="n">
        <v>250</v>
      </c>
      <c r="L308" s="13" t="n">
        <v>20</v>
      </c>
      <c r="M308" s="13" t="n">
        <f aca="false">K308+L308</f>
        <v>270</v>
      </c>
      <c r="N308" s="19" t="n">
        <v>29.9</v>
      </c>
      <c r="O308" s="19" t="n">
        <f aca="false">IF(N308&lt;=35,1,0.25)*M308/(N308+10)*IF(ISNUMBER(SEARCH("KD mismatch",U308)),0.25,1)</f>
        <v>6.76691729323308</v>
      </c>
      <c r="P308" s="20" t="str">
        <f aca="false">IF(N308&lt;=10,"Quick win",IF(N308&lt;=20,"Strong",IF(N308&lt;=35,"Moderate","Stretch")))</f>
        <v>Moderate</v>
      </c>
      <c r="Q308" s="12" t="s">
        <v>1716</v>
      </c>
      <c r="R308" s="12" t="s">
        <v>1717</v>
      </c>
      <c r="S308" s="12" t="s">
        <v>1718</v>
      </c>
      <c r="T308" s="12" t="s">
        <v>927</v>
      </c>
      <c r="U308" s="12"/>
      <c r="V308" s="14" t="s">
        <v>203</v>
      </c>
      <c r="W308" s="14"/>
      <c r="X308" s="15"/>
      <c r="Y308" s="14"/>
      <c r="Z308" s="24"/>
    </row>
    <row r="309" customFormat="false" ht="23.85" hidden="false" customHeight="false" outlineLevel="0" collapsed="false">
      <c r="A309" s="11" t="n">
        <v>308</v>
      </c>
      <c r="B309" s="11" t="s">
        <v>5</v>
      </c>
      <c r="C309" s="11" t="s">
        <v>1719</v>
      </c>
      <c r="D309" s="11" t="s">
        <v>1720</v>
      </c>
      <c r="E309" s="20" t="s">
        <v>627</v>
      </c>
      <c r="F309" s="11" t="s">
        <v>859</v>
      </c>
      <c r="G309" s="11" t="s">
        <v>1721</v>
      </c>
      <c r="H309" s="11" t="s">
        <v>1722</v>
      </c>
      <c r="I309" s="11" t="s">
        <v>386</v>
      </c>
      <c r="J309" s="11" t="s">
        <v>183</v>
      </c>
      <c r="K309" s="13" t="n">
        <v>140</v>
      </c>
      <c r="L309" s="13" t="n">
        <v>0</v>
      </c>
      <c r="M309" s="13" t="n">
        <f aca="false">K309+L309</f>
        <v>140</v>
      </c>
      <c r="N309" s="19" t="n">
        <v>11</v>
      </c>
      <c r="O309" s="19" t="n">
        <f aca="false">IF(N309&lt;=35,1,0.25)*M309/(N309+10)*IF(ISNUMBER(SEARCH("KD mismatch",U309)),0.25,1)</f>
        <v>6.66666666666667</v>
      </c>
      <c r="P309" s="20" t="str">
        <f aca="false">IF(N309&lt;=10,"Quick win",IF(N309&lt;=20,"Strong",IF(N309&lt;=35,"Moderate","Stretch")))</f>
        <v>Strong</v>
      </c>
      <c r="Q309" s="12"/>
      <c r="R309" s="12"/>
      <c r="S309" s="12" t="s">
        <v>1723</v>
      </c>
      <c r="T309" s="12"/>
      <c r="U309" s="12"/>
      <c r="V309" s="14" t="s">
        <v>203</v>
      </c>
      <c r="W309" s="14"/>
      <c r="X309" s="15"/>
      <c r="Y309" s="14"/>
      <c r="Z309" s="24"/>
    </row>
    <row r="310" customFormat="false" ht="35.05" hidden="false" customHeight="false" outlineLevel="0" collapsed="false">
      <c r="A310" s="11" t="n">
        <v>309</v>
      </c>
      <c r="B310" s="11" t="s">
        <v>5</v>
      </c>
      <c r="C310" s="11" t="s">
        <v>1724</v>
      </c>
      <c r="D310" s="11" t="s">
        <v>1725</v>
      </c>
      <c r="E310" s="20" t="s">
        <v>648</v>
      </c>
      <c r="F310" s="11" t="s">
        <v>649</v>
      </c>
      <c r="G310" s="11" t="s">
        <v>412</v>
      </c>
      <c r="H310" s="11" t="s">
        <v>214</v>
      </c>
      <c r="I310" s="11" t="s">
        <v>412</v>
      </c>
      <c r="J310" s="11" t="s">
        <v>71</v>
      </c>
      <c r="K310" s="13" t="n">
        <v>100</v>
      </c>
      <c r="L310" s="13" t="n">
        <v>930</v>
      </c>
      <c r="M310" s="13" t="n">
        <f aca="false">K310+L310</f>
        <v>1030</v>
      </c>
      <c r="N310" s="19" t="n">
        <v>29.3</v>
      </c>
      <c r="O310" s="19" t="n">
        <f aca="false">IF(N310&lt;=35,1,0.25)*M310/(N310+10)*IF(ISNUMBER(SEARCH("KD mismatch",U310)),0.25,1)</f>
        <v>6.55216284987277</v>
      </c>
      <c r="P310" s="20" t="str">
        <f aca="false">IF(N310&lt;=10,"Quick win",IF(N310&lt;=20,"Strong",IF(N310&lt;=35,"Moderate","Stretch")))</f>
        <v>Moderate</v>
      </c>
      <c r="Q310" s="12" t="s">
        <v>1726</v>
      </c>
      <c r="R310" s="12" t="s">
        <v>1727</v>
      </c>
      <c r="S310" s="12" t="s">
        <v>1728</v>
      </c>
      <c r="T310" s="12"/>
      <c r="U310" s="12" t="s">
        <v>1729</v>
      </c>
      <c r="V310" s="14" t="s">
        <v>203</v>
      </c>
      <c r="W310" s="14"/>
      <c r="X310" s="15"/>
      <c r="Y310" s="14"/>
      <c r="Z310" s="24"/>
    </row>
    <row r="311" customFormat="false" ht="23.85" hidden="false" customHeight="false" outlineLevel="0" collapsed="false">
      <c r="A311" s="11" t="n">
        <v>310</v>
      </c>
      <c r="B311" s="11" t="s">
        <v>5</v>
      </c>
      <c r="C311" s="11" t="s">
        <v>1730</v>
      </c>
      <c r="D311" s="11" t="s">
        <v>1731</v>
      </c>
      <c r="E311" s="20" t="s">
        <v>648</v>
      </c>
      <c r="F311" s="11" t="s">
        <v>692</v>
      </c>
      <c r="G311" s="11" t="s">
        <v>238</v>
      </c>
      <c r="H311" s="11" t="s">
        <v>204</v>
      </c>
      <c r="I311" s="11" t="s">
        <v>238</v>
      </c>
      <c r="J311" s="11" t="s">
        <v>71</v>
      </c>
      <c r="K311" s="13" t="n">
        <v>110</v>
      </c>
      <c r="L311" s="13" t="n">
        <v>0</v>
      </c>
      <c r="M311" s="13" t="n">
        <f aca="false">K311+L311</f>
        <v>110</v>
      </c>
      <c r="N311" s="19" t="n">
        <v>7</v>
      </c>
      <c r="O311" s="19" t="n">
        <f aca="false">IF(N311&lt;=35,1,0.25)*M311/(N311+10)*IF(ISNUMBER(SEARCH("KD mismatch",U311)),0.25,1)</f>
        <v>6.47058823529412</v>
      </c>
      <c r="P311" s="20" t="str">
        <f aca="false">IF(N311&lt;=10,"Quick win",IF(N311&lt;=20,"Strong",IF(N311&lt;=35,"Moderate","Stretch")))</f>
        <v>Quick win</v>
      </c>
      <c r="Q311" s="12"/>
      <c r="R311" s="12"/>
      <c r="S311" s="12" t="s">
        <v>1732</v>
      </c>
      <c r="T311" s="12"/>
      <c r="U311" s="12"/>
      <c r="V311" s="14" t="s">
        <v>203</v>
      </c>
      <c r="W311" s="14"/>
      <c r="X311" s="15"/>
      <c r="Y311" s="14"/>
      <c r="Z311" s="24"/>
    </row>
    <row r="312" customFormat="false" ht="23.85" hidden="false" customHeight="false" outlineLevel="0" collapsed="false">
      <c r="A312" s="11" t="n">
        <v>311</v>
      </c>
      <c r="B312" s="11" t="s">
        <v>5</v>
      </c>
      <c r="C312" s="11" t="s">
        <v>1733</v>
      </c>
      <c r="D312" s="11" t="s">
        <v>1734</v>
      </c>
      <c r="E312" s="20" t="s">
        <v>648</v>
      </c>
      <c r="F312" s="11" t="s">
        <v>1042</v>
      </c>
      <c r="G312" s="11" t="s">
        <v>89</v>
      </c>
      <c r="H312" s="11" t="s">
        <v>224</v>
      </c>
      <c r="I312" s="11" t="s">
        <v>89</v>
      </c>
      <c r="J312" s="11" t="s">
        <v>143</v>
      </c>
      <c r="K312" s="13" t="n">
        <v>110</v>
      </c>
      <c r="L312" s="13" t="n">
        <v>0</v>
      </c>
      <c r="M312" s="13" t="n">
        <f aca="false">K312+L312</f>
        <v>110</v>
      </c>
      <c r="N312" s="19" t="n">
        <v>7</v>
      </c>
      <c r="O312" s="19" t="n">
        <f aca="false">IF(N312&lt;=35,1,0.25)*M312/(N312+10)*IF(ISNUMBER(SEARCH("KD mismatch",U312)),0.25,1)</f>
        <v>6.47058823529412</v>
      </c>
      <c r="P312" s="20" t="str">
        <f aca="false">IF(N312&lt;=10,"Quick win",IF(N312&lt;=20,"Strong",IF(N312&lt;=35,"Moderate","Stretch")))</f>
        <v>Quick win</v>
      </c>
      <c r="Q312" s="12"/>
      <c r="R312" s="12"/>
      <c r="S312" s="12" t="s">
        <v>1735</v>
      </c>
      <c r="T312" s="12"/>
      <c r="U312" s="12"/>
      <c r="V312" s="14" t="s">
        <v>203</v>
      </c>
      <c r="W312" s="14"/>
      <c r="X312" s="15"/>
      <c r="Y312" s="14"/>
      <c r="Z312" s="24"/>
    </row>
    <row r="313" customFormat="false" ht="23.85" hidden="false" customHeight="false" outlineLevel="0" collapsed="false">
      <c r="A313" s="11" t="n">
        <v>312</v>
      </c>
      <c r="B313" s="11" t="s">
        <v>5</v>
      </c>
      <c r="C313" s="11" t="s">
        <v>1736</v>
      </c>
      <c r="D313" s="11" t="s">
        <v>1737</v>
      </c>
      <c r="E313" s="20" t="s">
        <v>648</v>
      </c>
      <c r="F313" s="11" t="s">
        <v>649</v>
      </c>
      <c r="G313" s="11" t="s">
        <v>409</v>
      </c>
      <c r="H313" s="11" t="s">
        <v>214</v>
      </c>
      <c r="I313" s="11" t="s">
        <v>409</v>
      </c>
      <c r="J313" s="11" t="s">
        <v>71</v>
      </c>
      <c r="K313" s="13" t="n">
        <v>250</v>
      </c>
      <c r="L313" s="13" t="n">
        <v>420</v>
      </c>
      <c r="M313" s="13" t="n">
        <f aca="false">K313+L313</f>
        <v>670</v>
      </c>
      <c r="N313" s="19" t="n">
        <v>15.9</v>
      </c>
      <c r="O313" s="19" t="n">
        <f aca="false">IF(N313&lt;=35,1,0.25)*M313/(N313+10)*IF(ISNUMBER(SEARCH("KD mismatch",U313)),0.25,1)</f>
        <v>6.46718146718147</v>
      </c>
      <c r="P313" s="20" t="str">
        <f aca="false">IF(N313&lt;=10,"Quick win",IF(N313&lt;=20,"Strong",IF(N313&lt;=35,"Moderate","Stretch")))</f>
        <v>Strong</v>
      </c>
      <c r="Q313" s="12" t="s">
        <v>1738</v>
      </c>
      <c r="R313" s="12" t="s">
        <v>1739</v>
      </c>
      <c r="S313" s="12" t="s">
        <v>1740</v>
      </c>
      <c r="T313" s="12"/>
      <c r="U313" s="12" t="s">
        <v>1625</v>
      </c>
      <c r="V313" s="14" t="s">
        <v>203</v>
      </c>
      <c r="W313" s="14"/>
      <c r="X313" s="15"/>
      <c r="Y313" s="14"/>
      <c r="Z313" s="24"/>
    </row>
    <row r="314" customFormat="false" ht="23.85" hidden="false" customHeight="false" outlineLevel="0" collapsed="false">
      <c r="A314" s="11" t="n">
        <v>313</v>
      </c>
      <c r="B314" s="11" t="s">
        <v>5</v>
      </c>
      <c r="C314" s="11" t="s">
        <v>1741</v>
      </c>
      <c r="D314" s="11" t="s">
        <v>1742</v>
      </c>
      <c r="E314" s="20" t="s">
        <v>627</v>
      </c>
      <c r="F314" s="11" t="s">
        <v>1622</v>
      </c>
      <c r="G314" s="11" t="s">
        <v>279</v>
      </c>
      <c r="H314" s="11" t="s">
        <v>214</v>
      </c>
      <c r="I314" s="11" t="s">
        <v>279</v>
      </c>
      <c r="J314" s="11" t="s">
        <v>182</v>
      </c>
      <c r="K314" s="13" t="n">
        <v>0</v>
      </c>
      <c r="L314" s="13" t="n">
        <v>740</v>
      </c>
      <c r="M314" s="13" t="n">
        <f aca="false">K314+L314</f>
        <v>740</v>
      </c>
      <c r="N314" s="19" t="n">
        <v>19</v>
      </c>
      <c r="O314" s="19" t="n">
        <f aca="false">IF(N314&lt;=35,1,0.25)*M314/(N314+10)*IF(ISNUMBER(SEARCH("KD mismatch",U314)),0.25,1)</f>
        <v>6.37931034482759</v>
      </c>
      <c r="P314" s="20" t="str">
        <f aca="false">IF(N314&lt;=10,"Quick win",IF(N314&lt;=20,"Strong",IF(N314&lt;=35,"Moderate","Stretch")))</f>
        <v>Strong</v>
      </c>
      <c r="Q314" s="12"/>
      <c r="R314" s="12" t="s">
        <v>1743</v>
      </c>
      <c r="S314" s="12" t="s">
        <v>1183</v>
      </c>
      <c r="T314" s="12"/>
      <c r="U314" s="12" t="s">
        <v>1625</v>
      </c>
      <c r="V314" s="14" t="s">
        <v>203</v>
      </c>
      <c r="W314" s="14"/>
      <c r="X314" s="15"/>
      <c r="Y314" s="14"/>
      <c r="Z314" s="24"/>
    </row>
    <row r="315" customFormat="false" ht="23.85" hidden="false" customHeight="false" outlineLevel="0" collapsed="false">
      <c r="A315" s="11" t="n">
        <v>314</v>
      </c>
      <c r="B315" s="11" t="s">
        <v>5</v>
      </c>
      <c r="C315" s="11" t="s">
        <v>1744</v>
      </c>
      <c r="D315" s="11" t="s">
        <v>1745</v>
      </c>
      <c r="E315" s="20" t="s">
        <v>627</v>
      </c>
      <c r="F315" s="11" t="s">
        <v>1622</v>
      </c>
      <c r="G315" s="11" t="s">
        <v>305</v>
      </c>
      <c r="H315" s="11" t="s">
        <v>247</v>
      </c>
      <c r="I315" s="11" t="s">
        <v>305</v>
      </c>
      <c r="J315" s="11" t="s">
        <v>182</v>
      </c>
      <c r="K315" s="13" t="n">
        <v>0</v>
      </c>
      <c r="L315" s="13" t="n">
        <v>660</v>
      </c>
      <c r="M315" s="13" t="n">
        <f aca="false">K315+L315</f>
        <v>660</v>
      </c>
      <c r="N315" s="19" t="n">
        <v>16</v>
      </c>
      <c r="O315" s="19" t="n">
        <f aca="false">IF(N315&lt;=35,1,0.25)*M315/(N315+10)*IF(ISNUMBER(SEARCH("KD mismatch",U315)),0.25,1)</f>
        <v>6.34615384615385</v>
      </c>
      <c r="P315" s="20" t="str">
        <f aca="false">IF(N315&lt;=10,"Quick win",IF(N315&lt;=20,"Strong",IF(N315&lt;=35,"Moderate","Stretch")))</f>
        <v>Strong</v>
      </c>
      <c r="Q315" s="12"/>
      <c r="R315" s="12" t="s">
        <v>1746</v>
      </c>
      <c r="S315" s="12" t="s">
        <v>1397</v>
      </c>
      <c r="T315" s="12"/>
      <c r="U315" s="12" t="s">
        <v>1625</v>
      </c>
      <c r="V315" s="14" t="s">
        <v>203</v>
      </c>
      <c r="W315" s="14"/>
      <c r="X315" s="15"/>
      <c r="Y315" s="14"/>
      <c r="Z315" s="24"/>
    </row>
    <row r="316" customFormat="false" ht="23.85" hidden="false" customHeight="false" outlineLevel="0" collapsed="false">
      <c r="A316" s="11" t="n">
        <v>315</v>
      </c>
      <c r="B316" s="11" t="s">
        <v>5</v>
      </c>
      <c r="C316" s="11" t="s">
        <v>1747</v>
      </c>
      <c r="D316" s="11" t="s">
        <v>1748</v>
      </c>
      <c r="E316" s="20" t="s">
        <v>648</v>
      </c>
      <c r="F316" s="11" t="s">
        <v>700</v>
      </c>
      <c r="G316" s="11" t="s">
        <v>357</v>
      </c>
      <c r="H316" s="11" t="s">
        <v>214</v>
      </c>
      <c r="I316" s="11" t="s">
        <v>357</v>
      </c>
      <c r="J316" s="11" t="s">
        <v>143</v>
      </c>
      <c r="K316" s="13" t="n">
        <v>30</v>
      </c>
      <c r="L316" s="13" t="n">
        <v>190</v>
      </c>
      <c r="M316" s="13" t="n">
        <f aca="false">K316+L316</f>
        <v>220</v>
      </c>
      <c r="N316" s="19" t="n">
        <v>25.9</v>
      </c>
      <c r="O316" s="19" t="n">
        <f aca="false">IF(N316&lt;=35,1,0.25)*M316/(N316+10)*IF(ISNUMBER(SEARCH("KD mismatch",U316)),0.25,1)</f>
        <v>6.12813370473538</v>
      </c>
      <c r="P316" s="20" t="str">
        <f aca="false">IF(N316&lt;=10,"Quick win",IF(N316&lt;=20,"Strong",IF(N316&lt;=35,"Moderate","Stretch")))</f>
        <v>Moderate</v>
      </c>
      <c r="Q316" s="12" t="s">
        <v>1749</v>
      </c>
      <c r="R316" s="12" t="s">
        <v>1750</v>
      </c>
      <c r="S316" s="12" t="s">
        <v>1751</v>
      </c>
      <c r="T316" s="12" t="s">
        <v>931</v>
      </c>
      <c r="U316" s="12"/>
      <c r="V316" s="14" t="s">
        <v>203</v>
      </c>
      <c r="W316" s="14"/>
      <c r="X316" s="15"/>
      <c r="Y316" s="14"/>
      <c r="Z316" s="24"/>
    </row>
    <row r="317" customFormat="false" ht="23.85" hidden="false" customHeight="false" outlineLevel="0" collapsed="false">
      <c r="A317" s="11" t="n">
        <v>316</v>
      </c>
      <c r="B317" s="11" t="s">
        <v>5</v>
      </c>
      <c r="C317" s="11" t="s">
        <v>1752</v>
      </c>
      <c r="D317" s="11" t="s">
        <v>1753</v>
      </c>
      <c r="E317" s="20" t="s">
        <v>627</v>
      </c>
      <c r="F317" s="11" t="s">
        <v>642</v>
      </c>
      <c r="G317" s="11" t="s">
        <v>1754</v>
      </c>
      <c r="H317" s="11" t="s">
        <v>241</v>
      </c>
      <c r="I317" s="11" t="s">
        <v>241</v>
      </c>
      <c r="J317" s="11" t="s">
        <v>56</v>
      </c>
      <c r="K317" s="13" t="n">
        <v>0</v>
      </c>
      <c r="L317" s="13" t="n">
        <v>110</v>
      </c>
      <c r="M317" s="13" t="n">
        <f aca="false">K317+L317</f>
        <v>110</v>
      </c>
      <c r="N317" s="19" t="n">
        <v>8</v>
      </c>
      <c r="O317" s="19" t="n">
        <f aca="false">IF(N317&lt;=35,1,0.25)*M317/(N317+10)*IF(ISNUMBER(SEARCH("KD mismatch",U317)),0.25,1)</f>
        <v>6.11111111111111</v>
      </c>
      <c r="P317" s="20" t="str">
        <f aca="false">IF(N317&lt;=10,"Quick win",IF(N317&lt;=20,"Strong",IF(N317&lt;=35,"Moderate","Stretch")))</f>
        <v>Quick win</v>
      </c>
      <c r="Q317" s="12"/>
      <c r="R317" s="12"/>
      <c r="S317" s="12" t="s">
        <v>1755</v>
      </c>
      <c r="T317" s="12" t="s">
        <v>818</v>
      </c>
      <c r="U317" s="12"/>
      <c r="V317" s="14" t="s">
        <v>203</v>
      </c>
      <c r="W317" s="14"/>
      <c r="X317" s="15"/>
      <c r="Y317" s="14"/>
      <c r="Z317" s="24"/>
    </row>
    <row r="318" customFormat="false" ht="23.85" hidden="false" customHeight="false" outlineLevel="0" collapsed="false">
      <c r="A318" s="11" t="n">
        <v>317</v>
      </c>
      <c r="B318" s="11" t="s">
        <v>5</v>
      </c>
      <c r="C318" s="11" t="s">
        <v>1756</v>
      </c>
      <c r="D318" s="11" t="s">
        <v>1757</v>
      </c>
      <c r="E318" s="20" t="s">
        <v>648</v>
      </c>
      <c r="F318" s="11" t="s">
        <v>700</v>
      </c>
      <c r="G318" s="11" t="s">
        <v>364</v>
      </c>
      <c r="H318" s="11" t="s">
        <v>314</v>
      </c>
      <c r="I318" s="11" t="s">
        <v>364</v>
      </c>
      <c r="J318" s="11" t="s">
        <v>143</v>
      </c>
      <c r="K318" s="13" t="n">
        <v>140</v>
      </c>
      <c r="L318" s="13" t="n">
        <v>0</v>
      </c>
      <c r="M318" s="13" t="n">
        <f aca="false">K318+L318</f>
        <v>140</v>
      </c>
      <c r="N318" s="19" t="n">
        <v>13</v>
      </c>
      <c r="O318" s="19" t="n">
        <f aca="false">IF(N318&lt;=35,1,0.25)*M318/(N318+10)*IF(ISNUMBER(SEARCH("KD mismatch",U318)),0.25,1)</f>
        <v>6.08695652173913</v>
      </c>
      <c r="P318" s="20" t="str">
        <f aca="false">IF(N318&lt;=10,"Quick win",IF(N318&lt;=20,"Strong",IF(N318&lt;=35,"Moderate","Stretch")))</f>
        <v>Strong</v>
      </c>
      <c r="Q318" s="12"/>
      <c r="R318" s="12"/>
      <c r="S318" s="12" t="s">
        <v>1758</v>
      </c>
      <c r="T318" s="12"/>
      <c r="U318" s="12"/>
      <c r="V318" s="14" t="s">
        <v>203</v>
      </c>
      <c r="W318" s="14"/>
      <c r="X318" s="15"/>
      <c r="Y318" s="14"/>
      <c r="Z318" s="24"/>
    </row>
    <row r="319" customFormat="false" ht="23.85" hidden="false" customHeight="false" outlineLevel="0" collapsed="false">
      <c r="A319" s="11" t="n">
        <v>318</v>
      </c>
      <c r="B319" s="11" t="s">
        <v>5</v>
      </c>
      <c r="C319" s="11" t="s">
        <v>1759</v>
      </c>
      <c r="D319" s="11" t="s">
        <v>1760</v>
      </c>
      <c r="E319" s="20" t="s">
        <v>648</v>
      </c>
      <c r="F319" s="11" t="s">
        <v>850</v>
      </c>
      <c r="G319" s="11" t="s">
        <v>379</v>
      </c>
      <c r="H319" s="11" t="s">
        <v>214</v>
      </c>
      <c r="I319" s="11" t="s">
        <v>379</v>
      </c>
      <c r="J319" s="11" t="s">
        <v>71</v>
      </c>
      <c r="K319" s="13" t="n">
        <v>150</v>
      </c>
      <c r="L319" s="13" t="n">
        <v>0</v>
      </c>
      <c r="M319" s="13" t="n">
        <f aca="false">K319+L319</f>
        <v>150</v>
      </c>
      <c r="N319" s="19" t="n">
        <v>16</v>
      </c>
      <c r="O319" s="19" t="n">
        <f aca="false">IF(N319&lt;=35,1,0.25)*M319/(N319+10)*IF(ISNUMBER(SEARCH("KD mismatch",U319)),0.25,1)</f>
        <v>5.76923076923077</v>
      </c>
      <c r="P319" s="20" t="str">
        <f aca="false">IF(N319&lt;=10,"Quick win",IF(N319&lt;=20,"Strong",IF(N319&lt;=35,"Moderate","Stretch")))</f>
        <v>Strong</v>
      </c>
      <c r="Q319" s="12"/>
      <c r="R319" s="12"/>
      <c r="S319" s="12" t="s">
        <v>1761</v>
      </c>
      <c r="T319" s="12"/>
      <c r="U319" s="12"/>
      <c r="V319" s="14" t="s">
        <v>203</v>
      </c>
      <c r="W319" s="14"/>
      <c r="X319" s="15"/>
      <c r="Y319" s="14"/>
      <c r="Z319" s="24"/>
    </row>
    <row r="320" customFormat="false" ht="15" hidden="false" customHeight="false" outlineLevel="0" collapsed="false">
      <c r="A320" s="11" t="n">
        <v>319</v>
      </c>
      <c r="B320" s="11" t="s">
        <v>5</v>
      </c>
      <c r="C320" s="11" t="s">
        <v>1762</v>
      </c>
      <c r="D320" s="11" t="s">
        <v>1763</v>
      </c>
      <c r="E320" s="20" t="s">
        <v>627</v>
      </c>
      <c r="F320" s="11" t="s">
        <v>642</v>
      </c>
      <c r="G320" s="11" t="s">
        <v>1608</v>
      </c>
      <c r="H320" s="11" t="s">
        <v>257</v>
      </c>
      <c r="I320" s="11" t="s">
        <v>257</v>
      </c>
      <c r="J320" s="11" t="s">
        <v>56</v>
      </c>
      <c r="K320" s="13" t="n">
        <v>170</v>
      </c>
      <c r="L320" s="13" t="n">
        <v>0</v>
      </c>
      <c r="M320" s="13" t="n">
        <f aca="false">K320+L320</f>
        <v>170</v>
      </c>
      <c r="N320" s="19" t="n">
        <v>20</v>
      </c>
      <c r="O320" s="19" t="n">
        <f aca="false">IF(N320&lt;=35,1,0.25)*M320/(N320+10)*IF(ISNUMBER(SEARCH("KD mismatch",U320)),0.25,1)</f>
        <v>5.66666666666667</v>
      </c>
      <c r="P320" s="20" t="str">
        <f aca="false">IF(N320&lt;=10,"Quick win",IF(N320&lt;=20,"Strong",IF(N320&lt;=35,"Moderate","Stretch")))</f>
        <v>Strong</v>
      </c>
      <c r="Q320" s="12"/>
      <c r="R320" s="12"/>
      <c r="S320" s="12" t="s">
        <v>1764</v>
      </c>
      <c r="T320" s="12"/>
      <c r="U320" s="12"/>
      <c r="V320" s="14" t="s">
        <v>203</v>
      </c>
      <c r="W320" s="14"/>
      <c r="X320" s="15"/>
      <c r="Y320" s="14"/>
      <c r="Z320" s="24"/>
    </row>
    <row r="321" customFormat="false" ht="23.85" hidden="false" customHeight="false" outlineLevel="0" collapsed="false">
      <c r="A321" s="11" t="n">
        <v>320</v>
      </c>
      <c r="B321" s="11" t="s">
        <v>5</v>
      </c>
      <c r="C321" s="11" t="s">
        <v>1765</v>
      </c>
      <c r="D321" s="11" t="s">
        <v>1766</v>
      </c>
      <c r="E321" s="20" t="s">
        <v>648</v>
      </c>
      <c r="F321" s="11" t="s">
        <v>796</v>
      </c>
      <c r="G321" s="11" t="s">
        <v>276</v>
      </c>
      <c r="H321" s="11" t="s">
        <v>276</v>
      </c>
      <c r="I321" s="11" t="s">
        <v>276</v>
      </c>
      <c r="J321" s="11" t="s">
        <v>71</v>
      </c>
      <c r="K321" s="13" t="n">
        <v>140</v>
      </c>
      <c r="L321" s="13" t="n">
        <v>0</v>
      </c>
      <c r="M321" s="13" t="n">
        <f aca="false">K321+L321</f>
        <v>140</v>
      </c>
      <c r="N321" s="19" t="n">
        <v>15</v>
      </c>
      <c r="O321" s="19" t="n">
        <f aca="false">IF(N321&lt;=35,1,0.25)*M321/(N321+10)*IF(ISNUMBER(SEARCH("KD mismatch",U321)),0.25,1)</f>
        <v>5.6</v>
      </c>
      <c r="P321" s="20" t="str">
        <f aca="false">IF(N321&lt;=10,"Quick win",IF(N321&lt;=20,"Strong",IF(N321&lt;=35,"Moderate","Stretch")))</f>
        <v>Strong</v>
      </c>
      <c r="Q321" s="12"/>
      <c r="R321" s="12"/>
      <c r="S321" s="12" t="s">
        <v>735</v>
      </c>
      <c r="T321" s="12"/>
      <c r="U321" s="12"/>
      <c r="V321" s="14" t="s">
        <v>203</v>
      </c>
      <c r="W321" s="14"/>
      <c r="X321" s="15"/>
      <c r="Y321" s="14"/>
      <c r="Z321" s="24"/>
    </row>
    <row r="322" customFormat="false" ht="23.85" hidden="false" customHeight="false" outlineLevel="0" collapsed="false">
      <c r="A322" s="11" t="n">
        <v>321</v>
      </c>
      <c r="B322" s="11" t="s">
        <v>5</v>
      </c>
      <c r="C322" s="11" t="s">
        <v>1767</v>
      </c>
      <c r="D322" s="11" t="s">
        <v>1768</v>
      </c>
      <c r="E322" s="20" t="s">
        <v>648</v>
      </c>
      <c r="F322" s="11" t="s">
        <v>700</v>
      </c>
      <c r="G322" s="11" t="s">
        <v>1769</v>
      </c>
      <c r="H322" s="11" t="s">
        <v>196</v>
      </c>
      <c r="I322" s="11" t="s">
        <v>196</v>
      </c>
      <c r="J322" s="11" t="s">
        <v>143</v>
      </c>
      <c r="K322" s="13" t="n">
        <v>0</v>
      </c>
      <c r="L322" s="13" t="n">
        <v>150</v>
      </c>
      <c r="M322" s="13" t="n">
        <f aca="false">K322+L322</f>
        <v>150</v>
      </c>
      <c r="N322" s="19" t="n">
        <v>17</v>
      </c>
      <c r="O322" s="19" t="n">
        <f aca="false">IF(N322&lt;=35,1,0.25)*M322/(N322+10)*IF(ISNUMBER(SEARCH("KD mismatch",U322)),0.25,1)</f>
        <v>5.55555555555556</v>
      </c>
      <c r="P322" s="20" t="str">
        <f aca="false">IF(N322&lt;=10,"Quick win",IF(N322&lt;=20,"Strong",IF(N322&lt;=35,"Moderate","Stretch")))</f>
        <v>Strong</v>
      </c>
      <c r="Q322" s="12"/>
      <c r="R322" s="12"/>
      <c r="S322" s="12" t="s">
        <v>1770</v>
      </c>
      <c r="T322" s="12"/>
      <c r="U322" s="12"/>
      <c r="V322" s="14" t="s">
        <v>203</v>
      </c>
      <c r="W322" s="14"/>
      <c r="X322" s="15"/>
      <c r="Y322" s="14"/>
      <c r="Z322" s="24"/>
    </row>
    <row r="323" customFormat="false" ht="23.85" hidden="false" customHeight="false" outlineLevel="0" collapsed="false">
      <c r="A323" s="11" t="n">
        <v>322</v>
      </c>
      <c r="B323" s="11" t="s">
        <v>5</v>
      </c>
      <c r="C323" s="11" t="s">
        <v>1771</v>
      </c>
      <c r="D323" s="11" t="s">
        <v>1772</v>
      </c>
      <c r="E323" s="20" t="s">
        <v>648</v>
      </c>
      <c r="F323" s="11" t="s">
        <v>692</v>
      </c>
      <c r="G323" s="11" t="s">
        <v>298</v>
      </c>
      <c r="H323" s="11" t="s">
        <v>214</v>
      </c>
      <c r="I323" s="11" t="s">
        <v>298</v>
      </c>
      <c r="J323" s="11" t="s">
        <v>71</v>
      </c>
      <c r="K323" s="13" t="n">
        <v>140</v>
      </c>
      <c r="L323" s="13" t="n">
        <v>0</v>
      </c>
      <c r="M323" s="13" t="n">
        <f aca="false">K323+L323</f>
        <v>140</v>
      </c>
      <c r="N323" s="19" t="n">
        <v>16</v>
      </c>
      <c r="O323" s="19" t="n">
        <f aca="false">IF(N323&lt;=35,1,0.25)*M323/(N323+10)*IF(ISNUMBER(SEARCH("KD mismatch",U323)),0.25,1)</f>
        <v>5.38461538461539</v>
      </c>
      <c r="P323" s="20" t="str">
        <f aca="false">IF(N323&lt;=10,"Quick win",IF(N323&lt;=20,"Strong",IF(N323&lt;=35,"Moderate","Stretch")))</f>
        <v>Strong</v>
      </c>
      <c r="Q323" s="12"/>
      <c r="R323" s="12"/>
      <c r="S323" s="12" t="s">
        <v>1254</v>
      </c>
      <c r="T323" s="12"/>
      <c r="U323" s="12"/>
      <c r="V323" s="14" t="s">
        <v>203</v>
      </c>
      <c r="W323" s="14"/>
      <c r="X323" s="15"/>
      <c r="Y323" s="14"/>
      <c r="Z323" s="24"/>
    </row>
    <row r="324" customFormat="false" ht="23.85" hidden="false" customHeight="false" outlineLevel="0" collapsed="false">
      <c r="A324" s="11" t="n">
        <v>323</v>
      </c>
      <c r="B324" s="11" t="s">
        <v>5</v>
      </c>
      <c r="C324" s="11" t="s">
        <v>1773</v>
      </c>
      <c r="D324" s="11" t="s">
        <v>1774</v>
      </c>
      <c r="E324" s="20" t="s">
        <v>648</v>
      </c>
      <c r="F324" s="11" t="s">
        <v>1775</v>
      </c>
      <c r="G324" s="11" t="s">
        <v>55</v>
      </c>
      <c r="H324" s="11" t="s">
        <v>241</v>
      </c>
      <c r="I324" s="11" t="s">
        <v>55</v>
      </c>
      <c r="J324" s="11" t="s">
        <v>143</v>
      </c>
      <c r="K324" s="13" t="n">
        <v>0</v>
      </c>
      <c r="L324" s="13" t="n">
        <v>170</v>
      </c>
      <c r="M324" s="13" t="n">
        <f aca="false">K324+L324</f>
        <v>170</v>
      </c>
      <c r="N324" s="19" t="n">
        <v>22</v>
      </c>
      <c r="O324" s="19" t="n">
        <f aca="false">IF(N324&lt;=35,1,0.25)*M324/(N324+10)*IF(ISNUMBER(SEARCH("KD mismatch",U324)),0.25,1)</f>
        <v>5.3125</v>
      </c>
      <c r="P324" s="20" t="str">
        <f aca="false">IF(N324&lt;=10,"Quick win",IF(N324&lt;=20,"Strong",IF(N324&lt;=35,"Moderate","Stretch")))</f>
        <v>Moderate</v>
      </c>
      <c r="Q324" s="12"/>
      <c r="R324" s="12"/>
      <c r="S324" s="12" t="s">
        <v>1776</v>
      </c>
      <c r="T324" s="12" t="s">
        <v>645</v>
      </c>
      <c r="U324" s="12"/>
      <c r="V324" s="14" t="s">
        <v>203</v>
      </c>
      <c r="W324" s="14"/>
      <c r="X324" s="15"/>
      <c r="Y324" s="14"/>
      <c r="Z324" s="24"/>
    </row>
    <row r="325" customFormat="false" ht="23.85" hidden="false" customHeight="false" outlineLevel="0" collapsed="false">
      <c r="A325" s="11" t="n">
        <v>324</v>
      </c>
      <c r="B325" s="11" t="s">
        <v>5</v>
      </c>
      <c r="C325" s="11" t="s">
        <v>1777</v>
      </c>
      <c r="D325" s="11" t="s">
        <v>1778</v>
      </c>
      <c r="E325" s="20" t="s">
        <v>648</v>
      </c>
      <c r="F325" s="11" t="s">
        <v>850</v>
      </c>
      <c r="G325" s="11" t="s">
        <v>276</v>
      </c>
      <c r="H325" s="11" t="s">
        <v>276</v>
      </c>
      <c r="I325" s="11" t="s">
        <v>276</v>
      </c>
      <c r="J325" s="11" t="s">
        <v>71</v>
      </c>
      <c r="K325" s="13" t="n">
        <v>50</v>
      </c>
      <c r="L325" s="13" t="n">
        <v>50</v>
      </c>
      <c r="M325" s="13" t="n">
        <f aca="false">K325+L325</f>
        <v>100</v>
      </c>
      <c r="N325" s="19" t="n">
        <v>9</v>
      </c>
      <c r="O325" s="19" t="n">
        <f aca="false">IF(N325&lt;=35,1,0.25)*M325/(N325+10)*IF(ISNUMBER(SEARCH("KD mismatch",U325)),0.25,1)</f>
        <v>5.26315789473684</v>
      </c>
      <c r="P325" s="20" t="str">
        <f aca="false">IF(N325&lt;=10,"Quick win",IF(N325&lt;=20,"Strong",IF(N325&lt;=35,"Moderate","Stretch")))</f>
        <v>Quick win</v>
      </c>
      <c r="Q325" s="12"/>
      <c r="R325" s="12"/>
      <c r="S325" s="12" t="s">
        <v>735</v>
      </c>
      <c r="T325" s="12"/>
      <c r="U325" s="12"/>
      <c r="V325" s="14" t="s">
        <v>203</v>
      </c>
      <c r="W325" s="14"/>
      <c r="X325" s="15"/>
      <c r="Y325" s="14"/>
      <c r="Z325" s="24"/>
    </row>
    <row r="326" customFormat="false" ht="23.85" hidden="false" customHeight="false" outlineLevel="0" collapsed="false">
      <c r="A326" s="11" t="n">
        <v>325</v>
      </c>
      <c r="B326" s="11" t="s">
        <v>5</v>
      </c>
      <c r="C326" s="11" t="s">
        <v>1779</v>
      </c>
      <c r="D326" s="11" t="s">
        <v>1780</v>
      </c>
      <c r="E326" s="20" t="s">
        <v>627</v>
      </c>
      <c r="F326" s="11" t="s">
        <v>738</v>
      </c>
      <c r="G326" s="11" t="s">
        <v>1781</v>
      </c>
      <c r="H326" s="11" t="s">
        <v>232</v>
      </c>
      <c r="I326" s="11" t="s">
        <v>232</v>
      </c>
      <c r="J326" s="11" t="s">
        <v>183</v>
      </c>
      <c r="K326" s="13" t="n">
        <v>50</v>
      </c>
      <c r="L326" s="13" t="n">
        <v>50</v>
      </c>
      <c r="M326" s="13" t="n">
        <f aca="false">K326+L326</f>
        <v>100</v>
      </c>
      <c r="N326" s="19" t="n">
        <v>9</v>
      </c>
      <c r="O326" s="19" t="n">
        <f aca="false">IF(N326&lt;=35,1,0.25)*M326/(N326+10)*IF(ISNUMBER(SEARCH("KD mismatch",U326)),0.25,1)</f>
        <v>5.26315789473684</v>
      </c>
      <c r="P326" s="20" t="str">
        <f aca="false">IF(N326&lt;=10,"Quick win",IF(N326&lt;=20,"Strong",IF(N326&lt;=35,"Moderate","Stretch")))</f>
        <v>Quick win</v>
      </c>
      <c r="Q326" s="12"/>
      <c r="R326" s="12"/>
      <c r="S326" s="12" t="s">
        <v>1782</v>
      </c>
      <c r="T326" s="12"/>
      <c r="U326" s="12"/>
      <c r="V326" s="14" t="s">
        <v>203</v>
      </c>
      <c r="W326" s="14"/>
      <c r="X326" s="15"/>
      <c r="Y326" s="14"/>
      <c r="Z326" s="24"/>
    </row>
    <row r="327" customFormat="false" ht="23.85" hidden="false" customHeight="false" outlineLevel="0" collapsed="false">
      <c r="A327" s="11" t="n">
        <v>326</v>
      </c>
      <c r="B327" s="11" t="s">
        <v>5</v>
      </c>
      <c r="C327" s="11" t="s">
        <v>1783</v>
      </c>
      <c r="D327" s="11" t="s">
        <v>1784</v>
      </c>
      <c r="E327" s="20" t="s">
        <v>648</v>
      </c>
      <c r="F327" s="11" t="s">
        <v>784</v>
      </c>
      <c r="G327" s="11" t="s">
        <v>298</v>
      </c>
      <c r="H327" s="11" t="s">
        <v>214</v>
      </c>
      <c r="I327" s="11" t="s">
        <v>298</v>
      </c>
      <c r="J327" s="11" t="s">
        <v>143</v>
      </c>
      <c r="K327" s="13" t="n">
        <v>210</v>
      </c>
      <c r="L327" s="13" t="n">
        <v>0</v>
      </c>
      <c r="M327" s="13" t="n">
        <f aca="false">K327+L327</f>
        <v>210</v>
      </c>
      <c r="N327" s="19" t="n">
        <v>31</v>
      </c>
      <c r="O327" s="19" t="n">
        <f aca="false">IF(N327&lt;=35,1,0.25)*M327/(N327+10)*IF(ISNUMBER(SEARCH("KD mismatch",U327)),0.25,1)</f>
        <v>5.1219512195122</v>
      </c>
      <c r="P327" s="20" t="str">
        <f aca="false">IF(N327&lt;=10,"Quick win",IF(N327&lt;=20,"Strong",IF(N327&lt;=35,"Moderate","Stretch")))</f>
        <v>Moderate</v>
      </c>
      <c r="Q327" s="12"/>
      <c r="R327" s="12"/>
      <c r="S327" s="12" t="s">
        <v>1785</v>
      </c>
      <c r="T327" s="12"/>
      <c r="U327" s="12"/>
      <c r="V327" s="14" t="s">
        <v>203</v>
      </c>
      <c r="W327" s="14"/>
      <c r="X327" s="15"/>
      <c r="Y327" s="14"/>
      <c r="Z327" s="24"/>
    </row>
    <row r="328" customFormat="false" ht="35.05" hidden="false" customHeight="false" outlineLevel="0" collapsed="false">
      <c r="A328" s="11" t="n">
        <v>327</v>
      </c>
      <c r="B328" s="11" t="s">
        <v>5</v>
      </c>
      <c r="C328" s="11" t="s">
        <v>1786</v>
      </c>
      <c r="D328" s="11" t="s">
        <v>1787</v>
      </c>
      <c r="E328" s="20" t="s">
        <v>627</v>
      </c>
      <c r="F328" s="11" t="s">
        <v>738</v>
      </c>
      <c r="G328" s="11" t="s">
        <v>385</v>
      </c>
      <c r="H328" s="11" t="s">
        <v>385</v>
      </c>
      <c r="I328" s="11" t="s">
        <v>385</v>
      </c>
      <c r="J328" s="11" t="s">
        <v>183</v>
      </c>
      <c r="K328" s="13" t="n">
        <v>0</v>
      </c>
      <c r="L328" s="13" t="n">
        <v>590</v>
      </c>
      <c r="M328" s="13" t="n">
        <f aca="false">K328+L328</f>
        <v>590</v>
      </c>
      <c r="N328" s="19" t="n">
        <v>20</v>
      </c>
      <c r="O328" s="19" t="n">
        <f aca="false">IF(N328&lt;=35,1,0.25)*M328/(N328+10)*IF(ISNUMBER(SEARCH("KD mismatch",U328)),0.25,1)</f>
        <v>4.91666666666667</v>
      </c>
      <c r="P328" s="20" t="str">
        <f aca="false">IF(N328&lt;=10,"Quick win",IF(N328&lt;=20,"Strong",IF(N328&lt;=35,"Moderate","Stretch")))</f>
        <v>Strong</v>
      </c>
      <c r="Q328" s="12"/>
      <c r="R328" s="12" t="s">
        <v>1788</v>
      </c>
      <c r="S328" s="12" t="s">
        <v>1661</v>
      </c>
      <c r="T328" s="12"/>
      <c r="U328" s="12" t="s">
        <v>1729</v>
      </c>
      <c r="V328" s="14" t="s">
        <v>203</v>
      </c>
      <c r="W328" s="14"/>
      <c r="X328" s="15"/>
      <c r="Y328" s="14"/>
      <c r="Z328" s="24"/>
    </row>
    <row r="329" customFormat="false" ht="23.85" hidden="false" customHeight="false" outlineLevel="0" collapsed="false">
      <c r="A329" s="11" t="n">
        <v>328</v>
      </c>
      <c r="B329" s="11" t="s">
        <v>5</v>
      </c>
      <c r="C329" s="11" t="s">
        <v>1789</v>
      </c>
      <c r="D329" s="11" t="s">
        <v>1790</v>
      </c>
      <c r="E329" s="20" t="s">
        <v>648</v>
      </c>
      <c r="F329" s="11" t="s">
        <v>1246</v>
      </c>
      <c r="G329" s="11" t="s">
        <v>106</v>
      </c>
      <c r="H329" s="11" t="s">
        <v>196</v>
      </c>
      <c r="I329" s="11" t="s">
        <v>106</v>
      </c>
      <c r="J329" s="11" t="s">
        <v>71</v>
      </c>
      <c r="K329" s="13" t="n">
        <v>220</v>
      </c>
      <c r="L329" s="13" t="n">
        <v>0</v>
      </c>
      <c r="M329" s="13" t="n">
        <f aca="false">K329+L329</f>
        <v>220</v>
      </c>
      <c r="N329" s="19" t="n">
        <v>35</v>
      </c>
      <c r="O329" s="19" t="n">
        <f aca="false">IF(N329&lt;=35,1,0.25)*M329/(N329+10)*IF(ISNUMBER(SEARCH("KD mismatch",U329)),0.25,1)</f>
        <v>4.88888888888889</v>
      </c>
      <c r="P329" s="20" t="str">
        <f aca="false">IF(N329&lt;=10,"Quick win",IF(N329&lt;=20,"Strong",IF(N329&lt;=35,"Moderate","Stretch")))</f>
        <v>Moderate</v>
      </c>
      <c r="Q329" s="12"/>
      <c r="R329" s="12"/>
      <c r="S329" s="12" t="s">
        <v>1537</v>
      </c>
      <c r="T329" s="12" t="s">
        <v>674</v>
      </c>
      <c r="U329" s="12"/>
      <c r="V329" s="14" t="s">
        <v>203</v>
      </c>
      <c r="W329" s="14"/>
      <c r="X329" s="15"/>
      <c r="Y329" s="14"/>
      <c r="Z329" s="24"/>
    </row>
    <row r="330" customFormat="false" ht="23.85" hidden="false" customHeight="false" outlineLevel="0" collapsed="false">
      <c r="A330" s="11" t="n">
        <v>329</v>
      </c>
      <c r="B330" s="11" t="s">
        <v>5</v>
      </c>
      <c r="C330" s="11" t="s">
        <v>1791</v>
      </c>
      <c r="D330" s="11" t="s">
        <v>1792</v>
      </c>
      <c r="E330" s="20" t="s">
        <v>648</v>
      </c>
      <c r="F330" s="11" t="s">
        <v>1793</v>
      </c>
      <c r="G330" s="11" t="s">
        <v>279</v>
      </c>
      <c r="H330" s="11" t="s">
        <v>214</v>
      </c>
      <c r="I330" s="11" t="s">
        <v>279</v>
      </c>
      <c r="J330" s="11" t="s">
        <v>71</v>
      </c>
      <c r="K330" s="13" t="n">
        <v>180</v>
      </c>
      <c r="L330" s="13" t="n">
        <v>0</v>
      </c>
      <c r="M330" s="13" t="n">
        <f aca="false">K330+L330</f>
        <v>180</v>
      </c>
      <c r="N330" s="19" t="n">
        <v>27</v>
      </c>
      <c r="O330" s="19" t="n">
        <f aca="false">IF(N330&lt;=35,1,0.25)*M330/(N330+10)*IF(ISNUMBER(SEARCH("KD mismatch",U330)),0.25,1)</f>
        <v>4.86486486486487</v>
      </c>
      <c r="P330" s="20" t="str">
        <f aca="false">IF(N330&lt;=10,"Quick win",IF(N330&lt;=20,"Strong",IF(N330&lt;=35,"Moderate","Stretch")))</f>
        <v>Moderate</v>
      </c>
      <c r="Q330" s="12"/>
      <c r="R330" s="12"/>
      <c r="S330" s="12" t="s">
        <v>1183</v>
      </c>
      <c r="T330" s="12"/>
      <c r="U330" s="12"/>
      <c r="V330" s="14" t="s">
        <v>203</v>
      </c>
      <c r="W330" s="14"/>
      <c r="X330" s="15"/>
      <c r="Y330" s="14"/>
      <c r="Z330" s="24"/>
    </row>
    <row r="331" customFormat="false" ht="23.85" hidden="false" customHeight="false" outlineLevel="0" collapsed="false">
      <c r="A331" s="11" t="n">
        <v>330</v>
      </c>
      <c r="B331" s="11" t="s">
        <v>5</v>
      </c>
      <c r="C331" s="11" t="s">
        <v>1794</v>
      </c>
      <c r="D331" s="11" t="s">
        <v>1795</v>
      </c>
      <c r="E331" s="20" t="s">
        <v>648</v>
      </c>
      <c r="F331" s="11" t="s">
        <v>692</v>
      </c>
      <c r="G331" s="11" t="s">
        <v>357</v>
      </c>
      <c r="H331" s="11" t="s">
        <v>214</v>
      </c>
      <c r="I331" s="11" t="s">
        <v>357</v>
      </c>
      <c r="J331" s="11" t="s">
        <v>71</v>
      </c>
      <c r="K331" s="13" t="n">
        <v>40</v>
      </c>
      <c r="L331" s="13" t="n">
        <v>70</v>
      </c>
      <c r="M331" s="13" t="n">
        <f aca="false">K331+L331</f>
        <v>110</v>
      </c>
      <c r="N331" s="19" t="n">
        <v>12.7</v>
      </c>
      <c r="O331" s="19" t="n">
        <f aca="false">IF(N331&lt;=35,1,0.25)*M331/(N331+10)*IF(ISNUMBER(SEARCH("KD mismatch",U331)),0.25,1)</f>
        <v>4.84581497797357</v>
      </c>
      <c r="P331" s="20" t="str">
        <f aca="false">IF(N331&lt;=10,"Quick win",IF(N331&lt;=20,"Strong",IF(N331&lt;=35,"Moderate","Stretch")))</f>
        <v>Strong</v>
      </c>
      <c r="Q331" s="12"/>
      <c r="R331" s="12"/>
      <c r="S331" s="12" t="s">
        <v>1524</v>
      </c>
      <c r="T331" s="12" t="s">
        <v>931</v>
      </c>
      <c r="U331" s="12"/>
      <c r="V331" s="14" t="s">
        <v>203</v>
      </c>
      <c r="W331" s="14"/>
      <c r="X331" s="15"/>
      <c r="Y331" s="14"/>
      <c r="Z331" s="24"/>
    </row>
    <row r="332" customFormat="false" ht="23.85" hidden="false" customHeight="false" outlineLevel="0" collapsed="false">
      <c r="A332" s="11" t="n">
        <v>331</v>
      </c>
      <c r="B332" s="11" t="s">
        <v>5</v>
      </c>
      <c r="C332" s="11" t="s">
        <v>1796</v>
      </c>
      <c r="D332" s="11" t="s">
        <v>1797</v>
      </c>
      <c r="E332" s="20" t="s">
        <v>627</v>
      </c>
      <c r="F332" s="11" t="s">
        <v>881</v>
      </c>
      <c r="G332" s="11" t="s">
        <v>283</v>
      </c>
      <c r="H332" s="11" t="s">
        <v>283</v>
      </c>
      <c r="I332" s="11" t="s">
        <v>283</v>
      </c>
      <c r="J332" s="11" t="s">
        <v>182</v>
      </c>
      <c r="K332" s="13" t="n">
        <v>140</v>
      </c>
      <c r="L332" s="13" t="n">
        <v>0</v>
      </c>
      <c r="M332" s="13" t="n">
        <f aca="false">K332+L332</f>
        <v>140</v>
      </c>
      <c r="N332" s="19" t="n">
        <v>19</v>
      </c>
      <c r="O332" s="19" t="n">
        <f aca="false">IF(N332&lt;=35,1,0.25)*M332/(N332+10)*IF(ISNUMBER(SEARCH("KD mismatch",U332)),0.25,1)</f>
        <v>4.82758620689655</v>
      </c>
      <c r="P332" s="20" t="str">
        <f aca="false">IF(N332&lt;=10,"Quick win",IF(N332&lt;=20,"Strong",IF(N332&lt;=35,"Moderate","Stretch")))</f>
        <v>Strong</v>
      </c>
      <c r="Q332" s="12"/>
      <c r="R332" s="12"/>
      <c r="S332" s="12" t="s">
        <v>1700</v>
      </c>
      <c r="T332" s="12"/>
      <c r="U332" s="12"/>
      <c r="V332" s="14" t="s">
        <v>203</v>
      </c>
      <c r="W332" s="14"/>
      <c r="X332" s="15"/>
      <c r="Y332" s="14"/>
      <c r="Z332" s="24"/>
    </row>
    <row r="333" customFormat="false" ht="23.85" hidden="false" customHeight="false" outlineLevel="0" collapsed="false">
      <c r="A333" s="11" t="n">
        <v>332</v>
      </c>
      <c r="B333" s="11" t="s">
        <v>5</v>
      </c>
      <c r="C333" s="11" t="s">
        <v>1798</v>
      </c>
      <c r="D333" s="11" t="s">
        <v>1799</v>
      </c>
      <c r="E333" s="20" t="s">
        <v>627</v>
      </c>
      <c r="F333" s="11" t="s">
        <v>738</v>
      </c>
      <c r="G333" s="11" t="s">
        <v>412</v>
      </c>
      <c r="H333" s="11" t="s">
        <v>214</v>
      </c>
      <c r="I333" s="11" t="s">
        <v>412</v>
      </c>
      <c r="J333" s="11" t="s">
        <v>183</v>
      </c>
      <c r="K333" s="13" t="n">
        <v>140</v>
      </c>
      <c r="L333" s="13" t="n">
        <v>0</v>
      </c>
      <c r="M333" s="13" t="n">
        <f aca="false">K333+L333</f>
        <v>140</v>
      </c>
      <c r="N333" s="19" t="n">
        <v>19</v>
      </c>
      <c r="O333" s="19" t="n">
        <f aca="false">IF(N333&lt;=35,1,0.25)*M333/(N333+10)*IF(ISNUMBER(SEARCH("KD mismatch",U333)),0.25,1)</f>
        <v>4.82758620689655</v>
      </c>
      <c r="P333" s="20" t="str">
        <f aca="false">IF(N333&lt;=10,"Quick win",IF(N333&lt;=20,"Strong",IF(N333&lt;=35,"Moderate","Stretch")))</f>
        <v>Strong</v>
      </c>
      <c r="Q333" s="12"/>
      <c r="R333" s="12"/>
      <c r="S333" s="12" t="s">
        <v>1800</v>
      </c>
      <c r="T333" s="12"/>
      <c r="U333" s="12"/>
      <c r="V333" s="14" t="s">
        <v>203</v>
      </c>
      <c r="W333" s="14"/>
      <c r="X333" s="15"/>
      <c r="Y333" s="14"/>
      <c r="Z333" s="24"/>
    </row>
    <row r="334" customFormat="false" ht="23.85" hidden="false" customHeight="false" outlineLevel="0" collapsed="false">
      <c r="A334" s="11" t="n">
        <v>333</v>
      </c>
      <c r="B334" s="11" t="s">
        <v>5</v>
      </c>
      <c r="C334" s="11" t="s">
        <v>1801</v>
      </c>
      <c r="D334" s="11" t="s">
        <v>1802</v>
      </c>
      <c r="E334" s="20" t="s">
        <v>648</v>
      </c>
      <c r="F334" s="11" t="s">
        <v>1308</v>
      </c>
      <c r="G334" s="11" t="s">
        <v>290</v>
      </c>
      <c r="H334" s="11" t="s">
        <v>214</v>
      </c>
      <c r="I334" s="11" t="s">
        <v>290</v>
      </c>
      <c r="J334" s="11" t="s">
        <v>71</v>
      </c>
      <c r="K334" s="13" t="n">
        <v>0</v>
      </c>
      <c r="L334" s="13" t="n">
        <v>110</v>
      </c>
      <c r="M334" s="13" t="n">
        <f aca="false">K334+L334</f>
        <v>110</v>
      </c>
      <c r="N334" s="19" t="n">
        <v>13</v>
      </c>
      <c r="O334" s="19" t="n">
        <f aca="false">IF(N334&lt;=35,1,0.25)*M334/(N334+10)*IF(ISNUMBER(SEARCH("KD mismatch",U334)),0.25,1)</f>
        <v>4.78260869565217</v>
      </c>
      <c r="P334" s="20" t="str">
        <f aca="false">IF(N334&lt;=10,"Quick win",IF(N334&lt;=20,"Strong",IF(N334&lt;=35,"Moderate","Stretch")))</f>
        <v>Strong</v>
      </c>
      <c r="Q334" s="12"/>
      <c r="R334" s="12"/>
      <c r="S334" s="12" t="s">
        <v>1718</v>
      </c>
      <c r="T334" s="12" t="s">
        <v>927</v>
      </c>
      <c r="U334" s="12"/>
      <c r="V334" s="14" t="s">
        <v>203</v>
      </c>
      <c r="W334" s="14"/>
      <c r="X334" s="15"/>
      <c r="Y334" s="14"/>
      <c r="Z334" s="24"/>
    </row>
    <row r="335" customFormat="false" ht="23.85" hidden="false" customHeight="false" outlineLevel="0" collapsed="false">
      <c r="A335" s="11" t="n">
        <v>334</v>
      </c>
      <c r="B335" s="11" t="s">
        <v>5</v>
      </c>
      <c r="C335" s="11" t="s">
        <v>1803</v>
      </c>
      <c r="D335" s="11" t="s">
        <v>1804</v>
      </c>
      <c r="E335" s="20" t="s">
        <v>627</v>
      </c>
      <c r="F335" s="11" t="s">
        <v>738</v>
      </c>
      <c r="G335" s="11" t="s">
        <v>1721</v>
      </c>
      <c r="H335" s="11" t="s">
        <v>1722</v>
      </c>
      <c r="I335" s="11" t="s">
        <v>386</v>
      </c>
      <c r="J335" s="11" t="s">
        <v>183</v>
      </c>
      <c r="K335" s="13" t="n">
        <v>110</v>
      </c>
      <c r="L335" s="13" t="n">
        <v>0</v>
      </c>
      <c r="M335" s="13" t="n">
        <f aca="false">K335+L335</f>
        <v>110</v>
      </c>
      <c r="N335" s="19" t="n">
        <v>13</v>
      </c>
      <c r="O335" s="19" t="n">
        <f aca="false">IF(N335&lt;=35,1,0.25)*M335/(N335+10)*IF(ISNUMBER(SEARCH("KD mismatch",U335)),0.25,1)</f>
        <v>4.78260869565217</v>
      </c>
      <c r="P335" s="20" t="str">
        <f aca="false">IF(N335&lt;=10,"Quick win",IF(N335&lt;=20,"Strong",IF(N335&lt;=35,"Moderate","Stretch")))</f>
        <v>Strong</v>
      </c>
      <c r="Q335" s="12"/>
      <c r="R335" s="12"/>
      <c r="S335" s="12" t="s">
        <v>1805</v>
      </c>
      <c r="T335" s="12"/>
      <c r="U335" s="12"/>
      <c r="V335" s="14" t="s">
        <v>203</v>
      </c>
      <c r="W335" s="14"/>
      <c r="X335" s="15"/>
      <c r="Y335" s="14"/>
      <c r="Z335" s="24"/>
    </row>
    <row r="336" customFormat="false" ht="23.85" hidden="false" customHeight="false" outlineLevel="0" collapsed="false">
      <c r="A336" s="11" t="n">
        <v>335</v>
      </c>
      <c r="B336" s="11" t="s">
        <v>5</v>
      </c>
      <c r="C336" s="11" t="s">
        <v>1806</v>
      </c>
      <c r="D336" s="11" t="s">
        <v>1807</v>
      </c>
      <c r="E336" s="20" t="s">
        <v>627</v>
      </c>
      <c r="F336" s="11" t="s">
        <v>738</v>
      </c>
      <c r="G336" s="11" t="s">
        <v>1808</v>
      </c>
      <c r="H336" s="11" t="s">
        <v>204</v>
      </c>
      <c r="I336" s="11" t="s">
        <v>204</v>
      </c>
      <c r="J336" s="11" t="s">
        <v>183</v>
      </c>
      <c r="K336" s="13" t="n">
        <v>110</v>
      </c>
      <c r="L336" s="13" t="n">
        <v>0</v>
      </c>
      <c r="M336" s="13" t="n">
        <f aca="false">K336+L336</f>
        <v>110</v>
      </c>
      <c r="N336" s="19" t="n">
        <v>13</v>
      </c>
      <c r="O336" s="19" t="n">
        <f aca="false">IF(N336&lt;=35,1,0.25)*M336/(N336+10)*IF(ISNUMBER(SEARCH("KD mismatch",U336)),0.25,1)</f>
        <v>4.78260869565217</v>
      </c>
      <c r="P336" s="20" t="str">
        <f aca="false">IF(N336&lt;=10,"Quick win",IF(N336&lt;=20,"Strong",IF(N336&lt;=35,"Moderate","Stretch")))</f>
        <v>Strong</v>
      </c>
      <c r="Q336" s="12"/>
      <c r="R336" s="12"/>
      <c r="S336" s="12" t="s">
        <v>1708</v>
      </c>
      <c r="T336" s="12"/>
      <c r="U336" s="12"/>
      <c r="V336" s="14" t="s">
        <v>203</v>
      </c>
      <c r="W336" s="14"/>
      <c r="X336" s="15"/>
      <c r="Y336" s="14"/>
      <c r="Z336" s="24"/>
    </row>
    <row r="337" customFormat="false" ht="23.85" hidden="false" customHeight="false" outlineLevel="0" collapsed="false">
      <c r="A337" s="11" t="n">
        <v>336</v>
      </c>
      <c r="B337" s="11" t="s">
        <v>5</v>
      </c>
      <c r="C337" s="11" t="s">
        <v>1809</v>
      </c>
      <c r="D337" s="11" t="s">
        <v>1810</v>
      </c>
      <c r="E337" s="20" t="s">
        <v>648</v>
      </c>
      <c r="F337" s="11" t="s">
        <v>686</v>
      </c>
      <c r="G337" s="11" t="s">
        <v>55</v>
      </c>
      <c r="H337" s="11" t="s">
        <v>241</v>
      </c>
      <c r="I337" s="11" t="s">
        <v>55</v>
      </c>
      <c r="J337" s="11" t="s">
        <v>143</v>
      </c>
      <c r="K337" s="13" t="n">
        <v>0</v>
      </c>
      <c r="L337" s="13" t="n">
        <v>100</v>
      </c>
      <c r="M337" s="13" t="n">
        <f aca="false">K337+L337</f>
        <v>100</v>
      </c>
      <c r="N337" s="19" t="n">
        <v>11</v>
      </c>
      <c r="O337" s="19" t="n">
        <f aca="false">IF(N337&lt;=35,1,0.25)*M337/(N337+10)*IF(ISNUMBER(SEARCH("KD mismatch",U337)),0.25,1)</f>
        <v>4.76190476190476</v>
      </c>
      <c r="P337" s="20" t="str">
        <f aca="false">IF(N337&lt;=10,"Quick win",IF(N337&lt;=20,"Strong",IF(N337&lt;=35,"Moderate","Stretch")))</f>
        <v>Strong</v>
      </c>
      <c r="Q337" s="12"/>
      <c r="R337" s="12"/>
      <c r="S337" s="12" t="s">
        <v>1811</v>
      </c>
      <c r="T337" s="12" t="s">
        <v>645</v>
      </c>
      <c r="U337" s="12"/>
      <c r="V337" s="14" t="s">
        <v>203</v>
      </c>
      <c r="W337" s="14"/>
      <c r="X337" s="15"/>
      <c r="Y337" s="14"/>
      <c r="Z337" s="24"/>
    </row>
    <row r="338" customFormat="false" ht="23.85" hidden="false" customHeight="false" outlineLevel="0" collapsed="false">
      <c r="A338" s="11" t="n">
        <v>337</v>
      </c>
      <c r="B338" s="11" t="s">
        <v>5</v>
      </c>
      <c r="C338" s="11" t="s">
        <v>1812</v>
      </c>
      <c r="D338" s="11" t="s">
        <v>1813</v>
      </c>
      <c r="E338" s="20" t="s">
        <v>648</v>
      </c>
      <c r="F338" s="11" t="s">
        <v>784</v>
      </c>
      <c r="G338" s="11" t="s">
        <v>361</v>
      </c>
      <c r="H338" s="11" t="s">
        <v>214</v>
      </c>
      <c r="I338" s="11" t="s">
        <v>361</v>
      </c>
      <c r="J338" s="11" t="s">
        <v>143</v>
      </c>
      <c r="K338" s="13" t="n">
        <v>170</v>
      </c>
      <c r="L338" s="13" t="n">
        <v>0</v>
      </c>
      <c r="M338" s="13" t="n">
        <f aca="false">K338+L338</f>
        <v>170</v>
      </c>
      <c r="N338" s="19" t="n">
        <v>26</v>
      </c>
      <c r="O338" s="19" t="n">
        <f aca="false">IF(N338&lt;=35,1,0.25)*M338/(N338+10)*IF(ISNUMBER(SEARCH("KD mismatch",U338)),0.25,1)</f>
        <v>4.72222222222222</v>
      </c>
      <c r="P338" s="20" t="str">
        <f aca="false">IF(N338&lt;=10,"Quick win",IF(N338&lt;=20,"Strong",IF(N338&lt;=35,"Moderate","Stretch")))</f>
        <v>Moderate</v>
      </c>
      <c r="Q338" s="12"/>
      <c r="R338" s="12"/>
      <c r="S338" s="12" t="s">
        <v>1814</v>
      </c>
      <c r="T338" s="12"/>
      <c r="U338" s="12"/>
      <c r="V338" s="14" t="s">
        <v>203</v>
      </c>
      <c r="W338" s="14"/>
      <c r="X338" s="15"/>
      <c r="Y338" s="14"/>
      <c r="Z338" s="24"/>
    </row>
    <row r="339" customFormat="false" ht="23.85" hidden="false" customHeight="false" outlineLevel="0" collapsed="false">
      <c r="A339" s="11" t="n">
        <v>338</v>
      </c>
      <c r="B339" s="11" t="s">
        <v>5</v>
      </c>
      <c r="C339" s="11" t="s">
        <v>1815</v>
      </c>
      <c r="D339" s="11" t="s">
        <v>1816</v>
      </c>
      <c r="E339" s="20" t="s">
        <v>648</v>
      </c>
      <c r="F339" s="11" t="s">
        <v>796</v>
      </c>
      <c r="G339" s="11" t="s">
        <v>385</v>
      </c>
      <c r="H339" s="11" t="s">
        <v>385</v>
      </c>
      <c r="I339" s="11" t="s">
        <v>385</v>
      </c>
      <c r="J339" s="11" t="s">
        <v>71</v>
      </c>
      <c r="K339" s="13" t="n">
        <v>110</v>
      </c>
      <c r="L339" s="13" t="n">
        <v>0</v>
      </c>
      <c r="M339" s="13" t="n">
        <f aca="false">K339+L339</f>
        <v>110</v>
      </c>
      <c r="N339" s="19" t="n">
        <v>14</v>
      </c>
      <c r="O339" s="19" t="n">
        <f aca="false">IF(N339&lt;=35,1,0.25)*M339/(N339+10)*IF(ISNUMBER(SEARCH("KD mismatch",U339)),0.25,1)</f>
        <v>4.58333333333333</v>
      </c>
      <c r="P339" s="20" t="str">
        <f aca="false">IF(N339&lt;=10,"Quick win",IF(N339&lt;=20,"Strong",IF(N339&lt;=35,"Moderate","Stretch")))</f>
        <v>Strong</v>
      </c>
      <c r="Q339" s="12"/>
      <c r="R339" s="12"/>
      <c r="S339" s="12" t="s">
        <v>1817</v>
      </c>
      <c r="T339" s="12"/>
      <c r="U339" s="12"/>
      <c r="V339" s="14" t="s">
        <v>203</v>
      </c>
      <c r="W339" s="14"/>
      <c r="X339" s="15"/>
      <c r="Y339" s="14"/>
      <c r="Z339" s="24"/>
    </row>
    <row r="340" customFormat="false" ht="23.85" hidden="false" customHeight="false" outlineLevel="0" collapsed="false">
      <c r="A340" s="11" t="n">
        <v>339</v>
      </c>
      <c r="B340" s="11" t="s">
        <v>5</v>
      </c>
      <c r="C340" s="11" t="s">
        <v>1818</v>
      </c>
      <c r="D340" s="11" t="s">
        <v>1819</v>
      </c>
      <c r="E340" s="20" t="s">
        <v>648</v>
      </c>
      <c r="F340" s="11" t="s">
        <v>1308</v>
      </c>
      <c r="G340" s="11" t="s">
        <v>324</v>
      </c>
      <c r="H340" s="11" t="s">
        <v>999</v>
      </c>
      <c r="I340" s="11" t="s">
        <v>324</v>
      </c>
      <c r="J340" s="11" t="s">
        <v>71</v>
      </c>
      <c r="K340" s="13" t="n">
        <v>50</v>
      </c>
      <c r="L340" s="13" t="n">
        <v>50</v>
      </c>
      <c r="M340" s="13" t="n">
        <f aca="false">K340+L340</f>
        <v>100</v>
      </c>
      <c r="N340" s="19" t="n">
        <v>12.5</v>
      </c>
      <c r="O340" s="19" t="n">
        <f aca="false">IF(N340&lt;=35,1,0.25)*M340/(N340+10)*IF(ISNUMBER(SEARCH("KD mismatch",U340)),0.25,1)</f>
        <v>4.44444444444445</v>
      </c>
      <c r="P340" s="20" t="str">
        <f aca="false">IF(N340&lt;=10,"Quick win",IF(N340&lt;=20,"Strong",IF(N340&lt;=35,"Moderate","Stretch")))</f>
        <v>Strong</v>
      </c>
      <c r="Q340" s="12"/>
      <c r="R340" s="12"/>
      <c r="S340" s="12" t="s">
        <v>1820</v>
      </c>
      <c r="T340" s="12"/>
      <c r="U340" s="12"/>
      <c r="V340" s="14" t="s">
        <v>203</v>
      </c>
      <c r="W340" s="14"/>
      <c r="X340" s="15"/>
      <c r="Y340" s="14"/>
      <c r="Z340" s="24"/>
    </row>
    <row r="341" customFormat="false" ht="23.85" hidden="false" customHeight="false" outlineLevel="0" collapsed="false">
      <c r="A341" s="11" t="n">
        <v>340</v>
      </c>
      <c r="B341" s="11" t="s">
        <v>5</v>
      </c>
      <c r="C341" s="11" t="s">
        <v>1821</v>
      </c>
      <c r="D341" s="11" t="s">
        <v>1822</v>
      </c>
      <c r="E341" s="20" t="s">
        <v>627</v>
      </c>
      <c r="F341" s="11" t="s">
        <v>642</v>
      </c>
      <c r="G341" s="11" t="s">
        <v>392</v>
      </c>
      <c r="H341" s="11" t="s">
        <v>214</v>
      </c>
      <c r="I341" s="11" t="s">
        <v>392</v>
      </c>
      <c r="J341" s="11" t="s">
        <v>56</v>
      </c>
      <c r="K341" s="13" t="n">
        <v>120</v>
      </c>
      <c r="L341" s="13" t="n">
        <v>0</v>
      </c>
      <c r="M341" s="13" t="n">
        <f aca="false">K341+L341</f>
        <v>120</v>
      </c>
      <c r="N341" s="19" t="n">
        <v>19</v>
      </c>
      <c r="O341" s="19" t="n">
        <f aca="false">IF(N341&lt;=35,1,0.25)*M341/(N341+10)*IF(ISNUMBER(SEARCH("KD mismatch",U341)),0.25,1)</f>
        <v>4.13793103448276</v>
      </c>
      <c r="P341" s="20" t="str">
        <f aca="false">IF(N341&lt;=10,"Quick win",IF(N341&lt;=20,"Strong",IF(N341&lt;=35,"Moderate","Stretch")))</f>
        <v>Strong</v>
      </c>
      <c r="Q341" s="12"/>
      <c r="R341" s="12"/>
      <c r="S341" s="12" t="s">
        <v>1823</v>
      </c>
      <c r="T341" s="12"/>
      <c r="U341" s="12"/>
      <c r="V341" s="14" t="s">
        <v>203</v>
      </c>
      <c r="W341" s="14"/>
      <c r="X341" s="15"/>
      <c r="Y341" s="14"/>
      <c r="Z341" s="24"/>
    </row>
    <row r="342" customFormat="false" ht="23.85" hidden="false" customHeight="false" outlineLevel="0" collapsed="false">
      <c r="A342" s="11" t="n">
        <v>341</v>
      </c>
      <c r="B342" s="11" t="s">
        <v>5</v>
      </c>
      <c r="C342" s="11" t="s">
        <v>1824</v>
      </c>
      <c r="D342" s="11" t="s">
        <v>1825</v>
      </c>
      <c r="E342" s="20" t="s">
        <v>648</v>
      </c>
      <c r="F342" s="11" t="s">
        <v>649</v>
      </c>
      <c r="G342" s="11" t="s">
        <v>1826</v>
      </c>
      <c r="H342" s="11" t="s">
        <v>196</v>
      </c>
      <c r="I342" s="11" t="s">
        <v>196</v>
      </c>
      <c r="J342" s="11" t="s">
        <v>71</v>
      </c>
      <c r="K342" s="13" t="n">
        <v>0</v>
      </c>
      <c r="L342" s="13" t="n">
        <v>100</v>
      </c>
      <c r="M342" s="13" t="n">
        <f aca="false">K342+L342</f>
        <v>100</v>
      </c>
      <c r="N342" s="19" t="n">
        <v>18</v>
      </c>
      <c r="O342" s="19" t="n">
        <f aca="false">IF(N342&lt;=35,1,0.25)*M342/(N342+10)*IF(ISNUMBER(SEARCH("KD mismatch",U342)),0.25,1)</f>
        <v>3.57142857142857</v>
      </c>
      <c r="P342" s="20" t="str">
        <f aca="false">IF(N342&lt;=10,"Quick win",IF(N342&lt;=20,"Strong",IF(N342&lt;=35,"Moderate","Stretch")))</f>
        <v>Strong</v>
      </c>
      <c r="Q342" s="12"/>
      <c r="R342" s="12"/>
      <c r="S342" s="12" t="s">
        <v>1827</v>
      </c>
      <c r="T342" s="12"/>
      <c r="U342" s="12"/>
      <c r="V342" s="14" t="s">
        <v>203</v>
      </c>
      <c r="W342" s="14"/>
      <c r="X342" s="15"/>
      <c r="Y342" s="14"/>
      <c r="Z342" s="24"/>
    </row>
    <row r="343" customFormat="false" ht="23.85" hidden="false" customHeight="false" outlineLevel="0" collapsed="false">
      <c r="A343" s="11" t="n">
        <v>342</v>
      </c>
      <c r="B343" s="11" t="s">
        <v>5</v>
      </c>
      <c r="C343" s="11" t="s">
        <v>1828</v>
      </c>
      <c r="D343" s="11" t="s">
        <v>1829</v>
      </c>
      <c r="E343" s="20" t="s">
        <v>648</v>
      </c>
      <c r="F343" s="11" t="s">
        <v>1830</v>
      </c>
      <c r="G343" s="11" t="s">
        <v>379</v>
      </c>
      <c r="H343" s="11" t="s">
        <v>214</v>
      </c>
      <c r="I343" s="11" t="s">
        <v>379</v>
      </c>
      <c r="J343" s="11" t="s">
        <v>71</v>
      </c>
      <c r="K343" s="13" t="n">
        <v>100</v>
      </c>
      <c r="L343" s="13" t="n">
        <v>0</v>
      </c>
      <c r="M343" s="13" t="n">
        <f aca="false">K343+L343</f>
        <v>100</v>
      </c>
      <c r="N343" s="19" t="n">
        <v>25</v>
      </c>
      <c r="O343" s="19" t="n">
        <f aca="false">IF(N343&lt;=35,1,0.25)*M343/(N343+10)*IF(ISNUMBER(SEARCH("KD mismatch",U343)),0.25,1)</f>
        <v>2.85714285714286</v>
      </c>
      <c r="P343" s="20" t="str">
        <f aca="false">IF(N343&lt;=10,"Quick win",IF(N343&lt;=20,"Strong",IF(N343&lt;=35,"Moderate","Stretch")))</f>
        <v>Moderate</v>
      </c>
      <c r="Q343" s="12"/>
      <c r="R343" s="12"/>
      <c r="S343" s="12" t="s">
        <v>1069</v>
      </c>
      <c r="T343" s="12"/>
      <c r="U343" s="12"/>
      <c r="V343" s="14" t="s">
        <v>203</v>
      </c>
      <c r="W343" s="14"/>
      <c r="X343" s="15"/>
      <c r="Y343" s="14"/>
      <c r="Z343" s="24"/>
    </row>
    <row r="344" customFormat="false" ht="23.85" hidden="false" customHeight="false" outlineLevel="0" collapsed="false">
      <c r="A344" s="11" t="n">
        <v>343</v>
      </c>
      <c r="B344" s="11" t="s">
        <v>5</v>
      </c>
      <c r="C344" s="11" t="s">
        <v>1831</v>
      </c>
      <c r="D344" s="11" t="s">
        <v>1832</v>
      </c>
      <c r="E344" s="20" t="s">
        <v>627</v>
      </c>
      <c r="F344" s="11" t="s">
        <v>1622</v>
      </c>
      <c r="G344" s="11" t="s">
        <v>133</v>
      </c>
      <c r="H344" s="11" t="s">
        <v>247</v>
      </c>
      <c r="I344" s="11" t="s">
        <v>133</v>
      </c>
      <c r="J344" s="11" t="s">
        <v>182</v>
      </c>
      <c r="K344" s="13" t="n">
        <v>0</v>
      </c>
      <c r="L344" s="13" t="n">
        <v>150</v>
      </c>
      <c r="M344" s="13" t="n">
        <f aca="false">K344+L344</f>
        <v>150</v>
      </c>
      <c r="N344" s="19" t="n">
        <v>6</v>
      </c>
      <c r="O344" s="19" t="n">
        <f aca="false">IF(N344&lt;=35,1,0.25)*M344/(N344+10)*IF(ISNUMBER(SEARCH("KD mismatch",U344)),0.25,1)</f>
        <v>2.34375</v>
      </c>
      <c r="P344" s="20" t="str">
        <f aca="false">IF(N344&lt;=10,"Quick win",IF(N344&lt;=20,"Strong",IF(N344&lt;=35,"Moderate","Stretch")))</f>
        <v>Quick win</v>
      </c>
      <c r="Q344" s="12"/>
      <c r="R344" s="12" t="s">
        <v>1833</v>
      </c>
      <c r="S344" s="12" t="s">
        <v>1422</v>
      </c>
      <c r="T344" s="12"/>
      <c r="U344" s="12" t="s">
        <v>1625</v>
      </c>
      <c r="V344" s="14" t="s">
        <v>203</v>
      </c>
      <c r="W344" s="14"/>
      <c r="X344" s="15"/>
      <c r="Y344" s="14"/>
      <c r="Z344" s="24"/>
    </row>
    <row r="345" customFormat="false" ht="23.85" hidden="false" customHeight="false" outlineLevel="0" collapsed="false">
      <c r="A345" s="11" t="n">
        <v>344</v>
      </c>
      <c r="B345" s="11" t="s">
        <v>5</v>
      </c>
      <c r="C345" s="11" t="s">
        <v>1834</v>
      </c>
      <c r="D345" s="11" t="s">
        <v>1835</v>
      </c>
      <c r="E345" s="20" t="s">
        <v>648</v>
      </c>
      <c r="F345" s="11" t="s">
        <v>649</v>
      </c>
      <c r="G345" s="11" t="s">
        <v>55</v>
      </c>
      <c r="H345" s="11" t="s">
        <v>241</v>
      </c>
      <c r="I345" s="11" t="s">
        <v>55</v>
      </c>
      <c r="J345" s="11" t="s">
        <v>71</v>
      </c>
      <c r="K345" s="13" t="n">
        <v>70</v>
      </c>
      <c r="L345" s="13" t="n">
        <v>100</v>
      </c>
      <c r="M345" s="13" t="n">
        <f aca="false">K345+L345</f>
        <v>170</v>
      </c>
      <c r="N345" s="19" t="n">
        <v>13</v>
      </c>
      <c r="O345" s="19" t="n">
        <f aca="false">IF(N345&lt;=35,1,0.25)*M345/(N345+10)*IF(ISNUMBER(SEARCH("KD mismatch",U345)),0.25,1)</f>
        <v>1.84782608695652</v>
      </c>
      <c r="P345" s="20" t="str">
        <f aca="false">IF(N345&lt;=10,"Quick win",IF(N345&lt;=20,"Strong",IF(N345&lt;=35,"Moderate","Stretch")))</f>
        <v>Strong</v>
      </c>
      <c r="Q345" s="12" t="s">
        <v>1836</v>
      </c>
      <c r="R345" s="12" t="s">
        <v>1837</v>
      </c>
      <c r="S345" s="12" t="s">
        <v>1554</v>
      </c>
      <c r="T345" s="12" t="s">
        <v>645</v>
      </c>
      <c r="U345" s="12" t="s">
        <v>1625</v>
      </c>
      <c r="V345" s="14" t="s">
        <v>203</v>
      </c>
      <c r="W345" s="14"/>
      <c r="X345" s="15"/>
      <c r="Y345" s="14"/>
      <c r="Z345" s="24"/>
    </row>
    <row r="346" customFormat="false" ht="23.85" hidden="false" customHeight="false" outlineLevel="0" collapsed="false">
      <c r="A346" s="11" t="n">
        <v>345</v>
      </c>
      <c r="B346" s="11" t="s">
        <v>5</v>
      </c>
      <c r="C346" s="11" t="s">
        <v>1838</v>
      </c>
      <c r="D346" s="11" t="s">
        <v>1839</v>
      </c>
      <c r="E346" s="20" t="s">
        <v>627</v>
      </c>
      <c r="F346" s="11" t="s">
        <v>738</v>
      </c>
      <c r="G346" s="11" t="s">
        <v>1840</v>
      </c>
      <c r="H346" s="11" t="s">
        <v>214</v>
      </c>
      <c r="I346" s="11" t="s">
        <v>214</v>
      </c>
      <c r="J346" s="11" t="s">
        <v>183</v>
      </c>
      <c r="K346" s="13" t="n">
        <v>0</v>
      </c>
      <c r="L346" s="13" t="n">
        <v>160</v>
      </c>
      <c r="M346" s="13" t="n">
        <f aca="false">K346+L346</f>
        <v>160</v>
      </c>
      <c r="N346" s="19" t="n">
        <v>13</v>
      </c>
      <c r="O346" s="19" t="n">
        <f aca="false">IF(N346&lt;=35,1,0.25)*M346/(N346+10)*IF(ISNUMBER(SEARCH("KD mismatch",U346)),0.25,1)</f>
        <v>1.73913043478261</v>
      </c>
      <c r="P346" s="20" t="str">
        <f aca="false">IF(N346&lt;=10,"Quick win",IF(N346&lt;=20,"Strong",IF(N346&lt;=35,"Moderate","Stretch")))</f>
        <v>Strong</v>
      </c>
      <c r="Q346" s="12"/>
      <c r="R346" s="12" t="s">
        <v>1841</v>
      </c>
      <c r="S346" s="12" t="s">
        <v>1058</v>
      </c>
      <c r="T346" s="12"/>
      <c r="U346" s="12" t="s">
        <v>1625</v>
      </c>
      <c r="V346" s="14" t="s">
        <v>203</v>
      </c>
      <c r="W346" s="14"/>
      <c r="X346" s="15"/>
      <c r="Y346" s="14"/>
      <c r="Z346" s="24"/>
    </row>
    <row r="347" customFormat="false" ht="23.85" hidden="false" customHeight="false" outlineLevel="0" collapsed="false">
      <c r="A347" s="11" t="n">
        <v>346</v>
      </c>
      <c r="B347" s="11" t="s">
        <v>5</v>
      </c>
      <c r="C347" s="11" t="s">
        <v>1842</v>
      </c>
      <c r="D347" s="11" t="s">
        <v>1843</v>
      </c>
      <c r="E347" s="20" t="s">
        <v>648</v>
      </c>
      <c r="F347" s="11" t="s">
        <v>686</v>
      </c>
      <c r="G347" s="11" t="s">
        <v>106</v>
      </c>
      <c r="H347" s="11" t="s">
        <v>196</v>
      </c>
      <c r="I347" s="11" t="s">
        <v>106</v>
      </c>
      <c r="J347" s="11" t="s">
        <v>143</v>
      </c>
      <c r="K347" s="13" t="n">
        <v>100</v>
      </c>
      <c r="L347" s="13" t="n">
        <v>0</v>
      </c>
      <c r="M347" s="13" t="n">
        <f aca="false">K347+L347</f>
        <v>100</v>
      </c>
      <c r="N347" s="19" t="n">
        <v>7</v>
      </c>
      <c r="O347" s="19" t="n">
        <f aca="false">IF(N347&lt;=35,1,0.25)*M347/(N347+10)*IF(ISNUMBER(SEARCH("KD mismatch",U347)),0.25,1)</f>
        <v>1.47058823529412</v>
      </c>
      <c r="P347" s="20" t="str">
        <f aca="false">IF(N347&lt;=10,"Quick win",IF(N347&lt;=20,"Strong",IF(N347&lt;=35,"Moderate","Stretch")))</f>
        <v>Quick win</v>
      </c>
      <c r="Q347" s="12"/>
      <c r="R347" s="12" t="s">
        <v>1844</v>
      </c>
      <c r="S347" s="12" t="s">
        <v>1845</v>
      </c>
      <c r="T347" s="12" t="s">
        <v>674</v>
      </c>
      <c r="U347" s="12" t="s">
        <v>1625</v>
      </c>
      <c r="V347" s="14" t="s">
        <v>203</v>
      </c>
      <c r="W347" s="14"/>
      <c r="X347" s="15"/>
      <c r="Y347" s="14"/>
      <c r="Z347" s="24"/>
    </row>
    <row r="348" customFormat="false" ht="23.85" hidden="false" customHeight="false" outlineLevel="0" collapsed="false">
      <c r="A348" s="11" t="n">
        <v>347</v>
      </c>
      <c r="B348" s="11" t="s">
        <v>5</v>
      </c>
      <c r="C348" s="11" t="s">
        <v>1846</v>
      </c>
      <c r="D348" s="11" t="s">
        <v>1847</v>
      </c>
      <c r="E348" s="20" t="s">
        <v>627</v>
      </c>
      <c r="F348" s="11" t="s">
        <v>1216</v>
      </c>
      <c r="G348" s="11" t="s">
        <v>241</v>
      </c>
      <c r="H348" s="11" t="s">
        <v>241</v>
      </c>
      <c r="I348" s="11" t="s">
        <v>241</v>
      </c>
      <c r="J348" s="11" t="s">
        <v>182</v>
      </c>
      <c r="K348" s="13" t="n">
        <v>0</v>
      </c>
      <c r="L348" s="13" t="n">
        <v>140</v>
      </c>
      <c r="M348" s="13" t="n">
        <f aca="false">K348+L348</f>
        <v>140</v>
      </c>
      <c r="N348" s="19" t="n">
        <v>23</v>
      </c>
      <c r="O348" s="19" t="n">
        <f aca="false">IF(N348&lt;=35,1,0.25)*M348/(N348+10)*IF(ISNUMBER(SEARCH("KD mismatch",U348)),0.25,1)</f>
        <v>1.06060606060606</v>
      </c>
      <c r="P348" s="20" t="str">
        <f aca="false">IF(N348&lt;=10,"Quick win",IF(N348&lt;=20,"Strong",IF(N348&lt;=35,"Moderate","Stretch")))</f>
        <v>Moderate</v>
      </c>
      <c r="Q348" s="12"/>
      <c r="R348" s="12" t="s">
        <v>1848</v>
      </c>
      <c r="S348" s="12" t="s">
        <v>1849</v>
      </c>
      <c r="T348" s="12" t="s">
        <v>818</v>
      </c>
      <c r="U348" s="12" t="s">
        <v>1625</v>
      </c>
      <c r="V348" s="14" t="s">
        <v>203</v>
      </c>
      <c r="W348" s="14"/>
      <c r="X348" s="15"/>
      <c r="Y348" s="14"/>
      <c r="Z348" s="24"/>
    </row>
  </sheetData>
  <autoFilter ref="A1:Z348"/>
  <conditionalFormatting sqref="P2:P348">
    <cfRule type="expression" priority="2" aboveAverage="0" equalAverage="0" bottom="0" percent="0" rank="0" text="" dxfId="0">
      <formula>$P2="Quick win"</formula>
    </cfRule>
    <cfRule type="expression" priority="3" aboveAverage="0" equalAverage="0" bottom="0" percent="0" rank="0" text="" dxfId="8">
      <formula>$P2="Strong"</formula>
    </cfRule>
    <cfRule type="expression" priority="4" aboveAverage="0" equalAverage="0" bottom="0" percent="0" rank="0" text="" dxfId="13">
      <formula>$P2="Moderate"</formula>
    </cfRule>
  </conditionalFormatting>
  <conditionalFormatting sqref="U2:U348">
    <cfRule type="expression" priority="5" aboveAverage="0" equalAverage="0" bottom="0" percent="0" rank="0" text="" dxfId="14">
      <formula>LEN($U2)&gt;0</formula>
    </cfRule>
  </conditionalFormatting>
  <conditionalFormatting sqref="E2:E348">
    <cfRule type="expression" priority="6" aboveAverage="0" equalAverage="0" bottom="0" percent="0" rank="0" text="" dxfId="9">
      <formula>$E2="Place"</formula>
    </cfRule>
  </conditionalFormatting>
  <conditionalFormatting sqref="V2:V348">
    <cfRule type="expression" priority="7" aboveAverage="0" equalAverage="0" bottom="0" percent="0" rank="0" text="" dxfId="0">
      <formula>$V2="Published"</formula>
    </cfRule>
  </conditionalFormatting>
  <dataValidations count="1">
    <dataValidation allowBlank="true" errorStyle="stop" operator="between" showDropDown="false" showErrorMessage="false" showInputMessage="false" sqref="V2:V348" type="list">
      <formula1>"Not started,Briefed,Writing,In review,Scheduled,Published"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8"/>
    <col collapsed="false" customWidth="true" hidden="false" outlineLevel="0" max="3" min="3" style="0" width="10"/>
    <col collapsed="false" customWidth="true" hidden="false" outlineLevel="0" max="4" min="4" style="0" width="7"/>
  </cols>
  <sheetData>
    <row r="1" customFormat="false" ht="33.75" hidden="false" customHeight="true" outlineLevel="0" collapsed="false">
      <c r="A1" s="9" t="s">
        <v>1850</v>
      </c>
      <c r="B1" s="9" t="s">
        <v>1851</v>
      </c>
      <c r="C1" s="9" t="s">
        <v>1852</v>
      </c>
      <c r="D1" s="9" t="s">
        <v>34</v>
      </c>
    </row>
    <row r="2" customFormat="false" ht="15" hidden="false" customHeight="false" outlineLevel="0" collapsed="false">
      <c r="A2" s="6" t="s">
        <v>281</v>
      </c>
      <c r="B2" s="6" t="s">
        <v>1853</v>
      </c>
      <c r="C2" s="6" t="n">
        <v>590</v>
      </c>
      <c r="D2" s="6" t="n">
        <v>13</v>
      </c>
    </row>
    <row r="3" customFormat="false" ht="15" hidden="false" customHeight="false" outlineLevel="0" collapsed="false">
      <c r="A3" s="6" t="s">
        <v>237</v>
      </c>
      <c r="B3" s="6" t="s">
        <v>1853</v>
      </c>
      <c r="C3" s="6" t="n">
        <v>480</v>
      </c>
      <c r="D3" s="6" t="n">
        <v>36</v>
      </c>
    </row>
    <row r="4" customFormat="false" ht="15" hidden="false" customHeight="false" outlineLevel="0" collapsed="false">
      <c r="A4" s="6" t="s">
        <v>240</v>
      </c>
      <c r="B4" s="6" t="s">
        <v>1853</v>
      </c>
      <c r="C4" s="6" t="n">
        <v>480</v>
      </c>
      <c r="D4" s="6" t="n">
        <v>22</v>
      </c>
    </row>
    <row r="5" customFormat="false" ht="15" hidden="false" customHeight="false" outlineLevel="0" collapsed="false">
      <c r="A5" s="6" t="s">
        <v>295</v>
      </c>
      <c r="B5" s="6" t="s">
        <v>1853</v>
      </c>
      <c r="C5" s="6" t="n">
        <v>480</v>
      </c>
      <c r="D5" s="6" t="n">
        <v>0</v>
      </c>
    </row>
    <row r="6" customFormat="false" ht="15" hidden="false" customHeight="false" outlineLevel="0" collapsed="false">
      <c r="A6" s="6" t="s">
        <v>307</v>
      </c>
      <c r="B6" s="6" t="s">
        <v>1853</v>
      </c>
      <c r="C6" s="6" t="n">
        <v>390</v>
      </c>
      <c r="D6" s="6" t="n">
        <v>34</v>
      </c>
    </row>
    <row r="7" customFormat="false" ht="15" hidden="false" customHeight="false" outlineLevel="0" collapsed="false">
      <c r="A7" s="6" t="s">
        <v>272</v>
      </c>
      <c r="B7" s="6" t="s">
        <v>1853</v>
      </c>
      <c r="C7" s="6" t="n">
        <v>320</v>
      </c>
      <c r="D7" s="6" t="n">
        <v>27</v>
      </c>
    </row>
    <row r="8" customFormat="false" ht="15" hidden="false" customHeight="false" outlineLevel="0" collapsed="false">
      <c r="A8" s="6" t="s">
        <v>278</v>
      </c>
      <c r="B8" s="6" t="s">
        <v>1853</v>
      </c>
      <c r="C8" s="6" t="n">
        <v>320</v>
      </c>
      <c r="D8" s="6" t="n">
        <v>19</v>
      </c>
    </row>
    <row r="9" customFormat="false" ht="15" hidden="false" customHeight="false" outlineLevel="0" collapsed="false">
      <c r="A9" s="6" t="s">
        <v>289</v>
      </c>
      <c r="B9" s="6" t="s">
        <v>1853</v>
      </c>
      <c r="C9" s="6" t="n">
        <v>320</v>
      </c>
      <c r="D9" s="6" t="n">
        <v>22</v>
      </c>
    </row>
    <row r="10" customFormat="false" ht="15" hidden="false" customHeight="false" outlineLevel="0" collapsed="false">
      <c r="A10" s="6" t="s">
        <v>249</v>
      </c>
      <c r="B10" s="6" t="s">
        <v>1853</v>
      </c>
      <c r="C10" s="6" t="n">
        <v>260</v>
      </c>
      <c r="D10" s="6" t="n">
        <v>35</v>
      </c>
    </row>
    <row r="11" customFormat="false" ht="15" hidden="false" customHeight="false" outlineLevel="0" collapsed="false">
      <c r="A11" s="6" t="s">
        <v>269</v>
      </c>
      <c r="B11" s="6" t="s">
        <v>1853</v>
      </c>
      <c r="C11" s="6" t="n">
        <v>260</v>
      </c>
      <c r="D11" s="6" t="n">
        <v>22</v>
      </c>
    </row>
    <row r="12" customFormat="false" ht="15" hidden="false" customHeight="false" outlineLevel="0" collapsed="false">
      <c r="A12" s="6" t="s">
        <v>304</v>
      </c>
      <c r="B12" s="6" t="s">
        <v>1853</v>
      </c>
      <c r="C12" s="6" t="n">
        <v>260</v>
      </c>
      <c r="D12" s="6" t="n">
        <v>33</v>
      </c>
    </row>
    <row r="13" customFormat="false" ht="15" hidden="false" customHeight="false" outlineLevel="0" collapsed="false">
      <c r="A13" s="6" t="s">
        <v>222</v>
      </c>
      <c r="B13" s="6" t="s">
        <v>1853</v>
      </c>
      <c r="C13" s="6" t="n">
        <v>260</v>
      </c>
      <c r="D13" s="6" t="n">
        <v>16</v>
      </c>
    </row>
    <row r="14" customFormat="false" ht="15" hidden="false" customHeight="false" outlineLevel="0" collapsed="false">
      <c r="A14" s="6" t="s">
        <v>259</v>
      </c>
      <c r="B14" s="6" t="s">
        <v>1853</v>
      </c>
      <c r="C14" s="6" t="n">
        <v>260</v>
      </c>
      <c r="D14" s="6" t="n">
        <v>13</v>
      </c>
    </row>
    <row r="15" customFormat="false" ht="15" hidden="false" customHeight="false" outlineLevel="0" collapsed="false">
      <c r="A15" s="6" t="s">
        <v>234</v>
      </c>
      <c r="B15" s="6" t="s">
        <v>198</v>
      </c>
      <c r="C15" s="6" t="n">
        <v>260</v>
      </c>
      <c r="D15" s="6" t="n">
        <v>24</v>
      </c>
    </row>
    <row r="16" customFormat="false" ht="15" hidden="false" customHeight="false" outlineLevel="0" collapsed="false">
      <c r="A16" s="6" t="s">
        <v>237</v>
      </c>
      <c r="B16" s="6" t="s">
        <v>198</v>
      </c>
      <c r="C16" s="6" t="n">
        <v>260</v>
      </c>
      <c r="D16" s="6" t="n">
        <v>31</v>
      </c>
    </row>
    <row r="17" customFormat="false" ht="15" hidden="false" customHeight="false" outlineLevel="0" collapsed="false">
      <c r="A17" s="6" t="s">
        <v>230</v>
      </c>
      <c r="B17" s="6" t="s">
        <v>198</v>
      </c>
      <c r="C17" s="6" t="n">
        <v>260</v>
      </c>
      <c r="D17" s="6" t="n">
        <v>35</v>
      </c>
    </row>
    <row r="18" customFormat="false" ht="15" hidden="false" customHeight="false" outlineLevel="0" collapsed="false">
      <c r="A18" s="6" t="s">
        <v>295</v>
      </c>
      <c r="B18" s="6" t="s">
        <v>198</v>
      </c>
      <c r="C18" s="6" t="n">
        <v>260</v>
      </c>
      <c r="D18" s="6" t="n">
        <v>26</v>
      </c>
    </row>
    <row r="19" customFormat="false" ht="15" hidden="false" customHeight="false" outlineLevel="0" collapsed="false">
      <c r="A19" s="6" t="s">
        <v>226</v>
      </c>
      <c r="B19" s="6" t="s">
        <v>198</v>
      </c>
      <c r="C19" s="6" t="n">
        <v>210</v>
      </c>
      <c r="D19" s="6" t="n">
        <v>16</v>
      </c>
    </row>
    <row r="20" customFormat="false" ht="15" hidden="false" customHeight="false" outlineLevel="0" collapsed="false">
      <c r="A20" s="6" t="s">
        <v>266</v>
      </c>
      <c r="B20" s="6" t="s">
        <v>198</v>
      </c>
      <c r="C20" s="6" t="n">
        <v>210</v>
      </c>
      <c r="D20" s="6" t="n">
        <v>14</v>
      </c>
    </row>
    <row r="21" customFormat="false" ht="15" hidden="false" customHeight="false" outlineLevel="0" collapsed="false">
      <c r="A21" s="6" t="s">
        <v>336</v>
      </c>
      <c r="B21" s="6" t="s">
        <v>1853</v>
      </c>
      <c r="C21" s="6" t="n">
        <v>170</v>
      </c>
      <c r="D21" s="6" t="n">
        <v>19</v>
      </c>
    </row>
    <row r="22" customFormat="false" ht="15" hidden="false" customHeight="false" outlineLevel="0" collapsed="false">
      <c r="A22" s="6" t="s">
        <v>244</v>
      </c>
      <c r="B22" s="6" t="s">
        <v>198</v>
      </c>
      <c r="C22" s="6" t="n">
        <v>170</v>
      </c>
      <c r="D22" s="6" t="n">
        <v>25</v>
      </c>
    </row>
    <row r="23" customFormat="false" ht="15" hidden="false" customHeight="false" outlineLevel="0" collapsed="false">
      <c r="A23" s="6" t="s">
        <v>289</v>
      </c>
      <c r="B23" s="6" t="s">
        <v>198</v>
      </c>
      <c r="C23" s="6" t="n">
        <v>170</v>
      </c>
      <c r="D23" s="6" t="n">
        <v>31</v>
      </c>
    </row>
    <row r="24" customFormat="false" ht="15" hidden="false" customHeight="false" outlineLevel="0" collapsed="false">
      <c r="A24" s="6" t="s">
        <v>272</v>
      </c>
      <c r="B24" s="6" t="s">
        <v>198</v>
      </c>
      <c r="C24" s="6" t="n">
        <v>140</v>
      </c>
      <c r="D24" s="6" t="n">
        <v>0</v>
      </c>
    </row>
    <row r="25" customFormat="false" ht="15" hidden="false" customHeight="false" outlineLevel="0" collapsed="false">
      <c r="A25" s="6" t="s">
        <v>278</v>
      </c>
      <c r="B25" s="6" t="s">
        <v>198</v>
      </c>
      <c r="C25" s="6" t="n">
        <v>140</v>
      </c>
      <c r="D25" s="6" t="n">
        <v>9</v>
      </c>
    </row>
    <row r="26" customFormat="false" ht="15" hidden="false" customHeight="false" outlineLevel="0" collapsed="false">
      <c r="A26" s="6" t="s">
        <v>350</v>
      </c>
      <c r="B26" s="6" t="s">
        <v>1853</v>
      </c>
      <c r="C26" s="6" t="n">
        <v>110</v>
      </c>
      <c r="D26" s="6" t="n">
        <v>11</v>
      </c>
    </row>
    <row r="27" customFormat="false" ht="15" hidden="false" customHeight="false" outlineLevel="0" collapsed="false">
      <c r="A27" s="6" t="s">
        <v>240</v>
      </c>
      <c r="B27" s="6" t="s">
        <v>198</v>
      </c>
      <c r="C27" s="6" t="n">
        <v>110</v>
      </c>
      <c r="D27" s="6" t="n">
        <v>18</v>
      </c>
    </row>
    <row r="28" customFormat="false" ht="15" hidden="false" customHeight="false" outlineLevel="0" collapsed="false">
      <c r="A28" s="6" t="s">
        <v>304</v>
      </c>
      <c r="B28" s="6" t="s">
        <v>198</v>
      </c>
      <c r="C28" s="6" t="n">
        <v>110</v>
      </c>
      <c r="D28" s="6" t="n">
        <v>27</v>
      </c>
    </row>
    <row r="29" customFormat="false" ht="15" hidden="false" customHeight="false" outlineLevel="0" collapsed="false">
      <c r="A29" s="6" t="s">
        <v>222</v>
      </c>
      <c r="B29" s="6" t="s">
        <v>198</v>
      </c>
      <c r="C29" s="6" t="n">
        <v>110</v>
      </c>
      <c r="D29" s="6" t="n">
        <v>25</v>
      </c>
    </row>
    <row r="30" customFormat="false" ht="15" hidden="false" customHeight="false" outlineLevel="0" collapsed="false">
      <c r="A30" s="6" t="s">
        <v>259</v>
      </c>
      <c r="B30" s="6" t="s">
        <v>198</v>
      </c>
      <c r="C30" s="6" t="n">
        <v>110</v>
      </c>
      <c r="D30" s="6" t="n">
        <v>33</v>
      </c>
    </row>
    <row r="31" customFormat="false" ht="15" hidden="false" customHeight="false" outlineLevel="0" collapsed="false">
      <c r="A31" s="6" t="s">
        <v>350</v>
      </c>
      <c r="B31" s="6" t="s">
        <v>198</v>
      </c>
      <c r="C31" s="6" t="n">
        <v>90</v>
      </c>
      <c r="D31" s="6" t="n">
        <v>8</v>
      </c>
    </row>
    <row r="32" customFormat="false" ht="15" hidden="false" customHeight="false" outlineLevel="0" collapsed="false">
      <c r="A32" s="6" t="s">
        <v>269</v>
      </c>
      <c r="B32" s="6" t="s">
        <v>198</v>
      </c>
      <c r="C32" s="6" t="n">
        <v>90</v>
      </c>
      <c r="D32" s="6" t="n">
        <v>25</v>
      </c>
    </row>
    <row r="33" customFormat="false" ht="15" hidden="false" customHeight="false" outlineLevel="0" collapsed="false">
      <c r="A33" s="6" t="s">
        <v>1854</v>
      </c>
      <c r="B33" s="6" t="s">
        <v>1853</v>
      </c>
      <c r="C33" s="6" t="n">
        <v>70</v>
      </c>
      <c r="D33" s="6" t="n">
        <v>29</v>
      </c>
    </row>
    <row r="34" customFormat="false" ht="15" hidden="false" customHeight="false" outlineLevel="0" collapsed="false">
      <c r="A34" s="6" t="s">
        <v>230</v>
      </c>
      <c r="B34" s="6" t="s">
        <v>1853</v>
      </c>
      <c r="C34" s="6" t="n">
        <v>50</v>
      </c>
      <c r="D34" s="6" t="n">
        <v>38</v>
      </c>
    </row>
    <row r="35" customFormat="false" ht="15" hidden="false" customHeight="false" outlineLevel="0" collapsed="false">
      <c r="A35" s="6" t="s">
        <v>1855</v>
      </c>
      <c r="B35" s="6" t="s">
        <v>1853</v>
      </c>
      <c r="C35" s="6" t="n">
        <v>40</v>
      </c>
      <c r="D35" s="6" t="n">
        <v>16</v>
      </c>
    </row>
    <row r="36" customFormat="false" ht="15" hidden="false" customHeight="false" outlineLevel="0" collapsed="false">
      <c r="A36" s="6" t="s">
        <v>307</v>
      </c>
      <c r="B36" s="6" t="s">
        <v>198</v>
      </c>
      <c r="C36" s="6" t="n">
        <v>40</v>
      </c>
      <c r="D36" s="6" t="n">
        <v>25</v>
      </c>
    </row>
    <row r="37" customFormat="false" ht="15" hidden="false" customHeight="false" outlineLevel="0" collapsed="false">
      <c r="A37" s="6" t="s">
        <v>320</v>
      </c>
      <c r="B37" s="6" t="s">
        <v>198</v>
      </c>
      <c r="C37" s="6" t="n">
        <v>40</v>
      </c>
      <c r="D37" s="6" t="n">
        <v>28</v>
      </c>
    </row>
    <row r="38" customFormat="false" ht="15" hidden="false" customHeight="false" outlineLevel="0" collapsed="false">
      <c r="A38" s="6" t="s">
        <v>320</v>
      </c>
      <c r="B38" s="6" t="s">
        <v>1853</v>
      </c>
      <c r="C38" s="6" t="n">
        <v>30</v>
      </c>
      <c r="D38" s="6" t="n">
        <v>42</v>
      </c>
    </row>
    <row r="39" customFormat="false" ht="15" hidden="false" customHeight="false" outlineLevel="0" collapsed="false">
      <c r="A39" s="6" t="s">
        <v>1856</v>
      </c>
      <c r="B39" s="6" t="s">
        <v>1853</v>
      </c>
      <c r="C39" s="6" t="n">
        <v>20</v>
      </c>
      <c r="D39" s="6" t="n">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8"/>
    <col collapsed="false" customWidth="true" hidden="false" outlineLevel="0" max="3" min="3" style="0" width="10"/>
    <col collapsed="false" customWidth="true" hidden="false" outlineLevel="0" max="4" min="4" style="0" width="7"/>
    <col collapsed="false" customWidth="true" hidden="false" outlineLevel="0" max="5" min="5" style="0" width="20"/>
    <col collapsed="false" customWidth="true" hidden="false" outlineLevel="0" max="6" min="6" style="0" width="18"/>
    <col collapsed="false" customWidth="true" hidden="false" outlineLevel="0" max="8" min="7" style="0" width="13"/>
    <col collapsed="false" customWidth="true" hidden="false" outlineLevel="0" max="9" min="9" style="0" width="12"/>
  </cols>
  <sheetData>
    <row r="1" customFormat="false" ht="33.75" hidden="false" customHeight="true" outlineLevel="0" collapsed="false">
      <c r="A1" s="9" t="s">
        <v>1850</v>
      </c>
      <c r="B1" s="9" t="s">
        <v>1851</v>
      </c>
      <c r="C1" s="9" t="s">
        <v>1852</v>
      </c>
      <c r="D1" s="9" t="s">
        <v>34</v>
      </c>
      <c r="E1" s="9" t="s">
        <v>626</v>
      </c>
      <c r="F1" s="9" t="s">
        <v>627</v>
      </c>
      <c r="G1" s="9" t="s">
        <v>625</v>
      </c>
      <c r="H1" s="9" t="s">
        <v>1857</v>
      </c>
      <c r="I1" s="9" t="s">
        <v>1858</v>
      </c>
    </row>
    <row r="2" customFormat="false" ht="15" hidden="false" customHeight="false" outlineLevel="0" collapsed="false">
      <c r="A2" s="6" t="s">
        <v>1859</v>
      </c>
      <c r="B2" s="6" t="s">
        <v>1853</v>
      </c>
      <c r="C2" s="6" t="n">
        <v>74000</v>
      </c>
      <c r="D2" s="6" t="n">
        <v>83</v>
      </c>
      <c r="E2" s="6" t="s">
        <v>1622</v>
      </c>
      <c r="F2" s="6" t="s">
        <v>1860</v>
      </c>
      <c r="G2" s="6" t="s">
        <v>627</v>
      </c>
      <c r="H2" s="6" t="str">
        <f aca="false">IF(D2&lt;=35,"Yes","No")</f>
        <v>No</v>
      </c>
      <c r="I2" s="6"/>
    </row>
    <row r="3" customFormat="false" ht="15" hidden="false" customHeight="false" outlineLevel="0" collapsed="false">
      <c r="A3" s="6" t="s">
        <v>1742</v>
      </c>
      <c r="B3" s="6" t="s">
        <v>1853</v>
      </c>
      <c r="C3" s="6" t="n">
        <v>74000</v>
      </c>
      <c r="D3" s="6" t="n">
        <v>98</v>
      </c>
      <c r="E3" s="6" t="s">
        <v>1622</v>
      </c>
      <c r="F3" s="6" t="s">
        <v>1861</v>
      </c>
      <c r="G3" s="6" t="s">
        <v>627</v>
      </c>
      <c r="H3" s="6" t="str">
        <f aca="false">IF(D3&lt;=35,"Yes","No")</f>
        <v>No</v>
      </c>
      <c r="I3" s="6"/>
    </row>
    <row r="4" customFormat="false" ht="15" hidden="false" customHeight="false" outlineLevel="0" collapsed="false">
      <c r="A4" s="6" t="s">
        <v>1862</v>
      </c>
      <c r="B4" s="6" t="s">
        <v>1853</v>
      </c>
      <c r="C4" s="6" t="n">
        <v>74000</v>
      </c>
      <c r="D4" s="6" t="n">
        <v>94</v>
      </c>
      <c r="E4" s="6" t="s">
        <v>1622</v>
      </c>
      <c r="F4" s="6" t="s">
        <v>1863</v>
      </c>
      <c r="G4" s="6" t="s">
        <v>627</v>
      </c>
      <c r="H4" s="6" t="str">
        <f aca="false">IF(D4&lt;=35,"Yes","No")</f>
        <v>No</v>
      </c>
      <c r="I4" s="6"/>
    </row>
    <row r="5" customFormat="false" ht="15" hidden="false" customHeight="false" outlineLevel="0" collapsed="false">
      <c r="A5" s="6" t="s">
        <v>1864</v>
      </c>
      <c r="B5" s="6" t="s">
        <v>1853</v>
      </c>
      <c r="C5" s="6" t="n">
        <v>74000</v>
      </c>
      <c r="D5" s="6" t="n">
        <v>93</v>
      </c>
      <c r="E5" s="6" t="s">
        <v>1622</v>
      </c>
      <c r="F5" s="6" t="s">
        <v>1865</v>
      </c>
      <c r="G5" s="6" t="s">
        <v>627</v>
      </c>
      <c r="H5" s="6" t="str">
        <f aca="false">IF(D5&lt;=35,"Yes","No")</f>
        <v>No</v>
      </c>
      <c r="I5" s="6"/>
    </row>
    <row r="6" customFormat="false" ht="15" hidden="false" customHeight="false" outlineLevel="0" collapsed="false">
      <c r="A6" s="6" t="s">
        <v>1621</v>
      </c>
      <c r="B6" s="6" t="s">
        <v>1853</v>
      </c>
      <c r="C6" s="6" t="n">
        <v>60500</v>
      </c>
      <c r="D6" s="6" t="n">
        <v>77</v>
      </c>
      <c r="E6" s="6" t="s">
        <v>1622</v>
      </c>
      <c r="F6" s="6" t="s">
        <v>1866</v>
      </c>
      <c r="G6" s="6" t="s">
        <v>627</v>
      </c>
      <c r="H6" s="6" t="str">
        <f aca="false">IF(D6&lt;=35,"Yes","No")</f>
        <v>No</v>
      </c>
      <c r="I6" s="6" t="s">
        <v>1867</v>
      </c>
    </row>
    <row r="7" customFormat="false" ht="15" hidden="false" customHeight="false" outlineLevel="0" collapsed="false">
      <c r="A7" s="6" t="s">
        <v>1868</v>
      </c>
      <c r="B7" s="6" t="s">
        <v>1853</v>
      </c>
      <c r="C7" s="6" t="n">
        <v>60500</v>
      </c>
      <c r="D7" s="6" t="n">
        <v>77</v>
      </c>
      <c r="E7" s="6" t="s">
        <v>1622</v>
      </c>
      <c r="F7" s="6" t="s">
        <v>1869</v>
      </c>
      <c r="G7" s="6" t="s">
        <v>627</v>
      </c>
      <c r="H7" s="6" t="str">
        <f aca="false">IF(D7&lt;=35,"Yes","No")</f>
        <v>No</v>
      </c>
      <c r="I7" s="6"/>
    </row>
    <row r="8" customFormat="false" ht="15" hidden="false" customHeight="false" outlineLevel="0" collapsed="false">
      <c r="A8" s="6" t="s">
        <v>1870</v>
      </c>
      <c r="B8" s="6" t="s">
        <v>1853</v>
      </c>
      <c r="C8" s="6" t="n">
        <v>40500</v>
      </c>
      <c r="D8" s="6" t="n">
        <v>66</v>
      </c>
      <c r="E8" s="6" t="s">
        <v>649</v>
      </c>
      <c r="F8" s="6" t="s">
        <v>1860</v>
      </c>
      <c r="G8" s="6" t="s">
        <v>648</v>
      </c>
      <c r="H8" s="6" t="str">
        <f aca="false">IF(D8&lt;=35,"Yes","No")</f>
        <v>No</v>
      </c>
      <c r="I8" s="6"/>
    </row>
    <row r="9" customFormat="false" ht="15" hidden="false" customHeight="false" outlineLevel="0" collapsed="false">
      <c r="A9" s="6" t="s">
        <v>1871</v>
      </c>
      <c r="B9" s="6" t="s">
        <v>1853</v>
      </c>
      <c r="C9" s="6" t="n">
        <v>33100</v>
      </c>
      <c r="D9" s="6" t="n">
        <v>68</v>
      </c>
      <c r="E9" s="6" t="s">
        <v>649</v>
      </c>
      <c r="F9" s="6" t="s">
        <v>1872</v>
      </c>
      <c r="G9" s="6" t="s">
        <v>648</v>
      </c>
      <c r="H9" s="6" t="str">
        <f aca="false">IF(D9&lt;=35,"Yes","No")</f>
        <v>No</v>
      </c>
      <c r="I9" s="6" t="s">
        <v>1867</v>
      </c>
    </row>
    <row r="10" customFormat="false" ht="15" hidden="false" customHeight="false" outlineLevel="0" collapsed="false">
      <c r="A10" s="6" t="s">
        <v>1873</v>
      </c>
      <c r="B10" s="6" t="s">
        <v>1853</v>
      </c>
      <c r="C10" s="6" t="n">
        <v>33100</v>
      </c>
      <c r="D10" s="6" t="n">
        <v>79</v>
      </c>
      <c r="E10" s="6" t="s">
        <v>649</v>
      </c>
      <c r="F10" s="6" t="s">
        <v>1861</v>
      </c>
      <c r="G10" s="6" t="s">
        <v>648</v>
      </c>
      <c r="H10" s="6" t="str">
        <f aca="false">IF(D10&lt;=35,"Yes","No")</f>
        <v>No</v>
      </c>
      <c r="I10" s="6"/>
    </row>
    <row r="11" customFormat="false" ht="15" hidden="false" customHeight="false" outlineLevel="0" collapsed="false">
      <c r="A11" s="6" t="s">
        <v>1874</v>
      </c>
      <c r="B11" s="6" t="s">
        <v>1853</v>
      </c>
      <c r="C11" s="6" t="n">
        <v>33100</v>
      </c>
      <c r="D11" s="6" t="n">
        <v>76</v>
      </c>
      <c r="E11" s="6" t="s">
        <v>649</v>
      </c>
      <c r="F11" s="6" t="s">
        <v>1869</v>
      </c>
      <c r="G11" s="6" t="s">
        <v>648</v>
      </c>
      <c r="H11" s="6" t="str">
        <f aca="false">IF(D11&lt;=35,"Yes","No")</f>
        <v>No</v>
      </c>
      <c r="I11" s="6"/>
    </row>
    <row r="12" customFormat="false" ht="15" hidden="false" customHeight="false" outlineLevel="0" collapsed="false">
      <c r="A12" s="6" t="s">
        <v>1875</v>
      </c>
      <c r="B12" s="6" t="s">
        <v>1853</v>
      </c>
      <c r="C12" s="6" t="n">
        <v>33100</v>
      </c>
      <c r="D12" s="6" t="n">
        <v>83</v>
      </c>
      <c r="E12" s="6" t="s">
        <v>1622</v>
      </c>
      <c r="F12" s="6" t="s">
        <v>1876</v>
      </c>
      <c r="G12" s="6" t="s">
        <v>627</v>
      </c>
      <c r="H12" s="6" t="str">
        <f aca="false">IF(D12&lt;=35,"Yes","No")</f>
        <v>No</v>
      </c>
      <c r="I12" s="6"/>
    </row>
    <row r="13" customFormat="false" ht="15" hidden="false" customHeight="false" outlineLevel="0" collapsed="false">
      <c r="A13" s="6" t="s">
        <v>1737</v>
      </c>
      <c r="B13" s="6" t="s">
        <v>1853</v>
      </c>
      <c r="C13" s="6" t="n">
        <v>27800</v>
      </c>
      <c r="D13" s="6" t="n">
        <v>75</v>
      </c>
      <c r="E13" s="6" t="s">
        <v>649</v>
      </c>
      <c r="F13" s="6" t="s">
        <v>1865</v>
      </c>
      <c r="G13" s="6" t="s">
        <v>648</v>
      </c>
      <c r="H13" s="6" t="str">
        <f aca="false">IF(D13&lt;=35,"Yes","No")</f>
        <v>No</v>
      </c>
      <c r="I13" s="6"/>
    </row>
    <row r="14" customFormat="false" ht="15" hidden="false" customHeight="false" outlineLevel="0" collapsed="false">
      <c r="A14" s="6" t="s">
        <v>1877</v>
      </c>
      <c r="B14" s="6" t="s">
        <v>198</v>
      </c>
      <c r="C14" s="6" t="n">
        <v>27100</v>
      </c>
      <c r="D14" s="6" t="n">
        <v>79</v>
      </c>
      <c r="E14" s="6" t="s">
        <v>1622</v>
      </c>
      <c r="F14" s="6" t="s">
        <v>1878</v>
      </c>
      <c r="G14" s="6" t="s">
        <v>627</v>
      </c>
      <c r="H14" s="6" t="str">
        <f aca="false">IF(D14&lt;=35,"Yes","No")</f>
        <v>No</v>
      </c>
      <c r="I14" s="6"/>
    </row>
    <row r="15" customFormat="false" ht="15" hidden="false" customHeight="false" outlineLevel="0" collapsed="false">
      <c r="A15" s="6" t="s">
        <v>1633</v>
      </c>
      <c r="B15" s="6" t="s">
        <v>1853</v>
      </c>
      <c r="C15" s="6" t="n">
        <v>22400</v>
      </c>
      <c r="D15" s="6" t="n">
        <v>92</v>
      </c>
      <c r="E15" s="6" t="s">
        <v>649</v>
      </c>
      <c r="F15" s="6" t="s">
        <v>1866</v>
      </c>
      <c r="G15" s="6" t="s">
        <v>648</v>
      </c>
      <c r="H15" s="6" t="str">
        <f aca="false">IF(D15&lt;=35,"Yes","No")</f>
        <v>No</v>
      </c>
      <c r="I15" s="6" t="s">
        <v>1867</v>
      </c>
    </row>
    <row r="16" customFormat="false" ht="15" hidden="false" customHeight="false" outlineLevel="0" collapsed="false">
      <c r="A16" s="6" t="s">
        <v>1839</v>
      </c>
      <c r="B16" s="6" t="s">
        <v>1853</v>
      </c>
      <c r="C16" s="6" t="n">
        <v>22400</v>
      </c>
      <c r="D16" s="6" t="n">
        <v>93</v>
      </c>
      <c r="E16" s="6" t="s">
        <v>738</v>
      </c>
      <c r="F16" s="6" t="s">
        <v>1879</v>
      </c>
      <c r="G16" s="6" t="s">
        <v>627</v>
      </c>
      <c r="H16" s="6" t="str">
        <f aca="false">IF(D16&lt;=35,"Yes","No")</f>
        <v>No</v>
      </c>
      <c r="I16" s="6"/>
    </row>
    <row r="17" customFormat="false" ht="15" hidden="false" customHeight="false" outlineLevel="0" collapsed="false">
      <c r="A17" s="6" t="s">
        <v>1880</v>
      </c>
      <c r="B17" s="6" t="s">
        <v>1853</v>
      </c>
      <c r="C17" s="6" t="n">
        <v>20100</v>
      </c>
      <c r="D17" s="6" t="n">
        <v>79</v>
      </c>
      <c r="E17" s="6" t="s">
        <v>1622</v>
      </c>
      <c r="F17" s="6" t="s">
        <v>1881</v>
      </c>
      <c r="G17" s="6" t="s">
        <v>627</v>
      </c>
      <c r="H17" s="6" t="str">
        <f aca="false">IF(D17&lt;=35,"Yes","No")</f>
        <v>No</v>
      </c>
      <c r="I17" s="6"/>
    </row>
    <row r="18" customFormat="false" ht="15" hidden="false" customHeight="false" outlineLevel="0" collapsed="false">
      <c r="A18" s="6" t="s">
        <v>1832</v>
      </c>
      <c r="B18" s="6" t="s">
        <v>1853</v>
      </c>
      <c r="C18" s="6" t="n">
        <v>18100</v>
      </c>
      <c r="D18" s="6" t="n">
        <v>90</v>
      </c>
      <c r="E18" s="6" t="s">
        <v>1622</v>
      </c>
      <c r="F18" s="6" t="s">
        <v>1882</v>
      </c>
      <c r="G18" s="6" t="s">
        <v>627</v>
      </c>
      <c r="H18" s="6" t="str">
        <f aca="false">IF(D18&lt;=35,"Yes","No")</f>
        <v>No</v>
      </c>
      <c r="I18" s="6"/>
    </row>
    <row r="19" customFormat="false" ht="15" hidden="false" customHeight="false" outlineLevel="0" collapsed="false">
      <c r="A19" s="6" t="s">
        <v>1883</v>
      </c>
      <c r="B19" s="6" t="s">
        <v>1853</v>
      </c>
      <c r="C19" s="6" t="n">
        <v>18100</v>
      </c>
      <c r="D19" s="6" t="n">
        <v>91</v>
      </c>
      <c r="E19" s="6" t="s">
        <v>1622</v>
      </c>
      <c r="F19" s="6" t="s">
        <v>1884</v>
      </c>
      <c r="G19" s="6" t="s">
        <v>627</v>
      </c>
      <c r="H19" s="6" t="str">
        <f aca="false">IF(D19&lt;=35,"Yes","No")</f>
        <v>No</v>
      </c>
      <c r="I19" s="6"/>
    </row>
    <row r="20" customFormat="false" ht="15" hidden="false" customHeight="false" outlineLevel="0" collapsed="false">
      <c r="A20" s="6" t="s">
        <v>1745</v>
      </c>
      <c r="B20" s="6" t="s">
        <v>1853</v>
      </c>
      <c r="C20" s="6" t="n">
        <v>18100</v>
      </c>
      <c r="D20" s="6" t="n">
        <v>66</v>
      </c>
      <c r="E20" s="6" t="s">
        <v>1622</v>
      </c>
      <c r="F20" s="6" t="s">
        <v>1885</v>
      </c>
      <c r="G20" s="6" t="s">
        <v>627</v>
      </c>
      <c r="H20" s="6" t="str">
        <f aca="false">IF(D20&lt;=35,"Yes","No")</f>
        <v>No</v>
      </c>
      <c r="I20" s="6"/>
    </row>
    <row r="21" customFormat="false" ht="15" hidden="false" customHeight="false" outlineLevel="0" collapsed="false">
      <c r="A21" s="6" t="s">
        <v>1886</v>
      </c>
      <c r="B21" s="6" t="s">
        <v>1853</v>
      </c>
      <c r="C21" s="6" t="n">
        <v>18100</v>
      </c>
      <c r="D21" s="6" t="n">
        <v>71</v>
      </c>
      <c r="E21" s="6" t="s">
        <v>1622</v>
      </c>
      <c r="F21" s="6" t="s">
        <v>1887</v>
      </c>
      <c r="G21" s="6" t="s">
        <v>627</v>
      </c>
      <c r="H21" s="6" t="str">
        <f aca="false">IF(D21&lt;=35,"Yes","No")</f>
        <v>No</v>
      </c>
      <c r="I21" s="6"/>
    </row>
    <row r="22" customFormat="false" ht="15" hidden="false" customHeight="false" outlineLevel="0" collapsed="false">
      <c r="A22" s="6" t="s">
        <v>1875</v>
      </c>
      <c r="B22" s="6" t="s">
        <v>198</v>
      </c>
      <c r="C22" s="6" t="n">
        <v>18100</v>
      </c>
      <c r="D22" s="6" t="n">
        <v>79</v>
      </c>
      <c r="E22" s="6" t="s">
        <v>1622</v>
      </c>
      <c r="F22" s="6" t="s">
        <v>1876</v>
      </c>
      <c r="G22" s="6" t="s">
        <v>627</v>
      </c>
      <c r="H22" s="6" t="str">
        <f aca="false">IF(D22&lt;=35,"Yes","No")</f>
        <v>No</v>
      </c>
      <c r="I22" s="6"/>
    </row>
    <row r="23" customFormat="false" ht="15" hidden="false" customHeight="false" outlineLevel="0" collapsed="false">
      <c r="A23" s="6" t="s">
        <v>1888</v>
      </c>
      <c r="B23" s="6" t="s">
        <v>198</v>
      </c>
      <c r="C23" s="6" t="n">
        <v>18100</v>
      </c>
      <c r="D23" s="6" t="n">
        <v>79</v>
      </c>
      <c r="E23" s="6" t="s">
        <v>1622</v>
      </c>
      <c r="F23" s="6" t="s">
        <v>1889</v>
      </c>
      <c r="G23" s="6" t="s">
        <v>627</v>
      </c>
      <c r="H23" s="6" t="str">
        <f aca="false">IF(D23&lt;=35,"Yes","No")</f>
        <v>No</v>
      </c>
      <c r="I23" s="6"/>
    </row>
    <row r="24" customFormat="false" ht="15" hidden="false" customHeight="false" outlineLevel="0" collapsed="false">
      <c r="A24" s="6" t="s">
        <v>1890</v>
      </c>
      <c r="B24" s="6" t="s">
        <v>198</v>
      </c>
      <c r="C24" s="6" t="n">
        <v>14800</v>
      </c>
      <c r="D24" s="6" t="n">
        <v>81</v>
      </c>
      <c r="E24" s="6" t="s">
        <v>649</v>
      </c>
      <c r="F24" s="6" t="s">
        <v>1891</v>
      </c>
      <c r="G24" s="6" t="s">
        <v>648</v>
      </c>
      <c r="H24" s="6" t="str">
        <f aca="false">IF(D24&lt;=35,"Yes","No")</f>
        <v>No</v>
      </c>
      <c r="I24" s="6"/>
    </row>
    <row r="25" customFormat="false" ht="15" hidden="false" customHeight="false" outlineLevel="0" collapsed="false">
      <c r="A25" s="6" t="s">
        <v>1892</v>
      </c>
      <c r="B25" s="6" t="s">
        <v>1853</v>
      </c>
      <c r="C25" s="6" t="n">
        <v>14800</v>
      </c>
      <c r="D25" s="6" t="n">
        <v>62</v>
      </c>
      <c r="E25" s="6" t="s">
        <v>1622</v>
      </c>
      <c r="F25" s="6" t="s">
        <v>1893</v>
      </c>
      <c r="G25" s="6" t="s">
        <v>627</v>
      </c>
      <c r="H25" s="6" t="str">
        <f aca="false">IF(D25&lt;=35,"Yes","No")</f>
        <v>No</v>
      </c>
      <c r="I25" s="6"/>
    </row>
    <row r="26" customFormat="false" ht="15" hidden="false" customHeight="false" outlineLevel="0" collapsed="false">
      <c r="A26" s="6" t="s">
        <v>1894</v>
      </c>
      <c r="B26" s="6" t="s">
        <v>1853</v>
      </c>
      <c r="C26" s="6" t="n">
        <v>14800</v>
      </c>
      <c r="D26" s="6" t="n">
        <v>74</v>
      </c>
      <c r="E26" s="6" t="s">
        <v>1622</v>
      </c>
      <c r="F26" s="6" t="s">
        <v>1895</v>
      </c>
      <c r="G26" s="6" t="s">
        <v>627</v>
      </c>
      <c r="H26" s="6" t="str">
        <f aca="false">IF(D26&lt;=35,"Yes","No")</f>
        <v>No</v>
      </c>
      <c r="I26" s="6"/>
    </row>
    <row r="27" customFormat="false" ht="15" hidden="false" customHeight="false" outlineLevel="0" collapsed="false">
      <c r="A27" s="6" t="s">
        <v>1880</v>
      </c>
      <c r="B27" s="6" t="s">
        <v>198</v>
      </c>
      <c r="C27" s="6" t="n">
        <v>14800</v>
      </c>
      <c r="D27" s="6" t="n">
        <v>70</v>
      </c>
      <c r="E27" s="6" t="s">
        <v>1622</v>
      </c>
      <c r="F27" s="6" t="s">
        <v>1881</v>
      </c>
      <c r="G27" s="6" t="s">
        <v>627</v>
      </c>
      <c r="H27" s="6" t="str">
        <f aca="false">IF(D27&lt;=35,"Yes","No")</f>
        <v>No</v>
      </c>
      <c r="I27" s="6"/>
    </row>
    <row r="28" customFormat="false" ht="15" hidden="false" customHeight="false" outlineLevel="0" collapsed="false">
      <c r="A28" s="6" t="s">
        <v>1896</v>
      </c>
      <c r="B28" s="6" t="s">
        <v>198</v>
      </c>
      <c r="C28" s="6" t="n">
        <v>14800</v>
      </c>
      <c r="D28" s="6" t="n">
        <v>67</v>
      </c>
      <c r="E28" s="6" t="s">
        <v>1622</v>
      </c>
      <c r="F28" s="6" t="s">
        <v>1897</v>
      </c>
      <c r="G28" s="6" t="s">
        <v>627</v>
      </c>
      <c r="H28" s="6" t="str">
        <f aca="false">IF(D28&lt;=35,"Yes","No")</f>
        <v>No</v>
      </c>
      <c r="I28" s="6"/>
    </row>
    <row r="29" customFormat="false" ht="15" hidden="false" customHeight="false" outlineLevel="0" collapsed="false">
      <c r="A29" s="6" t="s">
        <v>1898</v>
      </c>
      <c r="B29" s="6" t="s">
        <v>198</v>
      </c>
      <c r="C29" s="6" t="n">
        <v>14800</v>
      </c>
      <c r="D29" s="6" t="n">
        <v>58</v>
      </c>
      <c r="E29" s="6" t="s">
        <v>1622</v>
      </c>
      <c r="F29" s="6" t="s">
        <v>1899</v>
      </c>
      <c r="G29" s="6" t="s">
        <v>627</v>
      </c>
      <c r="H29" s="6" t="str">
        <f aca="false">IF(D29&lt;=35,"Yes","No")</f>
        <v>No</v>
      </c>
      <c r="I29" s="6"/>
    </row>
    <row r="30" customFormat="false" ht="15" hidden="false" customHeight="false" outlineLevel="0" collapsed="false">
      <c r="A30" s="6" t="s">
        <v>1900</v>
      </c>
      <c r="B30" s="6" t="s">
        <v>198</v>
      </c>
      <c r="C30" s="6" t="n">
        <v>14800</v>
      </c>
      <c r="D30" s="6" t="n">
        <v>76</v>
      </c>
      <c r="E30" s="6" t="s">
        <v>1622</v>
      </c>
      <c r="F30" s="6" t="s">
        <v>1901</v>
      </c>
      <c r="G30" s="6" t="s">
        <v>627</v>
      </c>
      <c r="H30" s="6" t="str">
        <f aca="false">IF(D30&lt;=35,"Yes","No")</f>
        <v>No</v>
      </c>
      <c r="I30" s="6"/>
    </row>
    <row r="31" customFormat="false" ht="15" hidden="false" customHeight="false" outlineLevel="0" collapsed="false">
      <c r="A31" s="6" t="s">
        <v>1902</v>
      </c>
      <c r="B31" s="6" t="s">
        <v>198</v>
      </c>
      <c r="C31" s="6" t="n">
        <v>14800</v>
      </c>
      <c r="D31" s="6" t="n">
        <v>64</v>
      </c>
      <c r="E31" s="6" t="s">
        <v>815</v>
      </c>
      <c r="F31" s="6" t="s">
        <v>1903</v>
      </c>
      <c r="G31" s="6" t="s">
        <v>627</v>
      </c>
      <c r="H31" s="6" t="str">
        <f aca="false">IF(D31&lt;=35,"Yes","No")</f>
        <v>No</v>
      </c>
      <c r="I31" s="6"/>
    </row>
    <row r="32" customFormat="false" ht="15" hidden="false" customHeight="false" outlineLevel="0" collapsed="false">
      <c r="A32" s="6" t="s">
        <v>1725</v>
      </c>
      <c r="B32" s="6" t="s">
        <v>1853</v>
      </c>
      <c r="C32" s="6" t="n">
        <v>12100</v>
      </c>
      <c r="D32" s="6" t="n">
        <v>79</v>
      </c>
      <c r="E32" s="6" t="s">
        <v>649</v>
      </c>
      <c r="F32" s="6" t="s">
        <v>1863</v>
      </c>
      <c r="G32" s="6" t="s">
        <v>648</v>
      </c>
      <c r="H32" s="6" t="str">
        <f aca="false">IF(D32&lt;=35,"Yes","No")</f>
        <v>No</v>
      </c>
      <c r="I32" s="6"/>
    </row>
    <row r="33" customFormat="false" ht="15" hidden="false" customHeight="false" outlineLevel="0" collapsed="false">
      <c r="A33" s="6" t="s">
        <v>1904</v>
      </c>
      <c r="B33" s="6" t="s">
        <v>1853</v>
      </c>
      <c r="C33" s="6" t="n">
        <v>12100</v>
      </c>
      <c r="D33" s="6" t="n">
        <v>84</v>
      </c>
      <c r="E33" s="6" t="s">
        <v>649</v>
      </c>
      <c r="F33" s="6" t="s">
        <v>1905</v>
      </c>
      <c r="G33" s="6" t="s">
        <v>648</v>
      </c>
      <c r="H33" s="6" t="str">
        <f aca="false">IF(D33&lt;=35,"Yes","No")</f>
        <v>No</v>
      </c>
      <c r="I33" s="6"/>
    </row>
    <row r="34" customFormat="false" ht="15" hidden="false" customHeight="false" outlineLevel="0" collapsed="false">
      <c r="A34" s="6" t="s">
        <v>1906</v>
      </c>
      <c r="B34" s="6" t="s">
        <v>1853</v>
      </c>
      <c r="C34" s="6" t="n">
        <v>12100</v>
      </c>
      <c r="D34" s="6" t="n">
        <v>84</v>
      </c>
      <c r="E34" s="6" t="s">
        <v>1622</v>
      </c>
      <c r="F34" s="6" t="s">
        <v>1907</v>
      </c>
      <c r="G34" s="6" t="s">
        <v>627</v>
      </c>
      <c r="H34" s="6" t="str">
        <f aca="false">IF(D34&lt;=35,"Yes","No")</f>
        <v>No</v>
      </c>
      <c r="I34" s="6"/>
    </row>
    <row r="35" customFormat="false" ht="15" hidden="false" customHeight="false" outlineLevel="0" collapsed="false">
      <c r="A35" s="6" t="s">
        <v>1908</v>
      </c>
      <c r="B35" s="6" t="s">
        <v>198</v>
      </c>
      <c r="C35" s="6" t="n">
        <v>12100</v>
      </c>
      <c r="D35" s="6" t="n">
        <v>86</v>
      </c>
      <c r="E35" s="6" t="s">
        <v>1622</v>
      </c>
      <c r="F35" s="6" t="s">
        <v>1909</v>
      </c>
      <c r="G35" s="6" t="s">
        <v>627</v>
      </c>
      <c r="H35" s="6" t="str">
        <f aca="false">IF(D35&lt;=35,"Yes","No")</f>
        <v>No</v>
      </c>
      <c r="I35" s="6"/>
    </row>
    <row r="36" customFormat="false" ht="15" hidden="false" customHeight="false" outlineLevel="0" collapsed="false">
      <c r="A36" s="6" t="s">
        <v>1883</v>
      </c>
      <c r="B36" s="6" t="s">
        <v>198</v>
      </c>
      <c r="C36" s="6" t="n">
        <v>12100</v>
      </c>
      <c r="D36" s="6" t="n">
        <v>75</v>
      </c>
      <c r="E36" s="6" t="s">
        <v>1622</v>
      </c>
      <c r="F36" s="6" t="s">
        <v>1884</v>
      </c>
      <c r="G36" s="6" t="s">
        <v>627</v>
      </c>
      <c r="H36" s="6" t="str">
        <f aca="false">IF(D36&lt;=35,"Yes","No")</f>
        <v>No</v>
      </c>
      <c r="I36" s="6"/>
    </row>
    <row r="37" customFormat="false" ht="15" hidden="false" customHeight="false" outlineLevel="0" collapsed="false">
      <c r="A37" s="6" t="s">
        <v>1910</v>
      </c>
      <c r="B37" s="6" t="s">
        <v>198</v>
      </c>
      <c r="C37" s="6" t="n">
        <v>12100</v>
      </c>
      <c r="D37" s="6" t="n">
        <v>90</v>
      </c>
      <c r="E37" s="6" t="s">
        <v>1622</v>
      </c>
      <c r="F37" s="6" t="s">
        <v>1911</v>
      </c>
      <c r="G37" s="6" t="s">
        <v>627</v>
      </c>
      <c r="H37" s="6" t="str">
        <f aca="false">IF(D37&lt;=35,"Yes","No")</f>
        <v>No</v>
      </c>
      <c r="I37" s="6"/>
    </row>
    <row r="38" customFormat="false" ht="15" hidden="false" customHeight="false" outlineLevel="0" collapsed="false">
      <c r="A38" s="6" t="s">
        <v>1912</v>
      </c>
      <c r="B38" s="6" t="s">
        <v>1853</v>
      </c>
      <c r="C38" s="6" t="n">
        <v>10800</v>
      </c>
      <c r="D38" s="6" t="n">
        <v>82</v>
      </c>
      <c r="E38" s="6" t="s">
        <v>649</v>
      </c>
      <c r="F38" s="6" t="s">
        <v>1876</v>
      </c>
      <c r="G38" s="6" t="s">
        <v>648</v>
      </c>
      <c r="H38" s="6" t="str">
        <f aca="false">IF(D38&lt;=35,"Yes","No")</f>
        <v>No</v>
      </c>
      <c r="I38" s="6"/>
    </row>
    <row r="39" customFormat="false" ht="15" hidden="false" customHeight="false" outlineLevel="0" collapsed="false">
      <c r="A39" s="6" t="s">
        <v>1913</v>
      </c>
      <c r="B39" s="6" t="s">
        <v>198</v>
      </c>
      <c r="C39" s="6" t="n">
        <v>10800</v>
      </c>
      <c r="D39" s="6" t="n">
        <v>76</v>
      </c>
      <c r="E39" s="6" t="s">
        <v>1622</v>
      </c>
      <c r="F39" s="6" t="s">
        <v>1914</v>
      </c>
      <c r="G39" s="6" t="s">
        <v>627</v>
      </c>
      <c r="H39" s="6" t="str">
        <f aca="false">IF(D39&lt;=35,"Yes","No")</f>
        <v>No</v>
      </c>
      <c r="I39" s="6"/>
    </row>
    <row r="40" customFormat="false" ht="15" hidden="false" customHeight="false" outlineLevel="0" collapsed="false">
      <c r="A40" s="6" t="s">
        <v>1894</v>
      </c>
      <c r="B40" s="6" t="s">
        <v>198</v>
      </c>
      <c r="C40" s="6" t="n">
        <v>10800</v>
      </c>
      <c r="D40" s="6" t="n">
        <v>83</v>
      </c>
      <c r="E40" s="6" t="s">
        <v>1622</v>
      </c>
      <c r="F40" s="6" t="s">
        <v>1895</v>
      </c>
      <c r="G40" s="6" t="s">
        <v>627</v>
      </c>
      <c r="H40" s="6" t="str">
        <f aca="false">IF(D40&lt;=35,"Yes","No")</f>
        <v>No</v>
      </c>
      <c r="I40" s="6"/>
    </row>
    <row r="41" customFormat="false" ht="15" hidden="false" customHeight="false" outlineLevel="0" collapsed="false">
      <c r="A41" s="6" t="s">
        <v>1915</v>
      </c>
      <c r="B41" s="6" t="s">
        <v>1853</v>
      </c>
      <c r="C41" s="6" t="n">
        <v>10800</v>
      </c>
      <c r="D41" s="6" t="n">
        <v>86</v>
      </c>
      <c r="E41" s="6" t="s">
        <v>1216</v>
      </c>
      <c r="F41" s="6" t="s">
        <v>1916</v>
      </c>
      <c r="G41" s="6" t="s">
        <v>627</v>
      </c>
      <c r="H41" s="6" t="str">
        <f aca="false">IF(D41&lt;=35,"Yes","No")</f>
        <v>No</v>
      </c>
      <c r="I41" s="6"/>
    </row>
    <row r="42" customFormat="false" ht="15" hidden="false" customHeight="false" outlineLevel="0" collapsed="false">
      <c r="A42" s="6" t="s">
        <v>1917</v>
      </c>
      <c r="B42" s="6" t="s">
        <v>1853</v>
      </c>
      <c r="C42" s="6" t="n">
        <v>9900</v>
      </c>
      <c r="D42" s="6" t="n">
        <v>70</v>
      </c>
      <c r="E42" s="6" t="s">
        <v>649</v>
      </c>
      <c r="F42" s="6" t="s">
        <v>1918</v>
      </c>
      <c r="G42" s="6" t="s">
        <v>648</v>
      </c>
      <c r="H42" s="6" t="str">
        <f aca="false">IF(D42&lt;=35,"Yes","No")</f>
        <v>No</v>
      </c>
      <c r="I42" s="6"/>
    </row>
    <row r="43" customFormat="false" ht="15" hidden="false" customHeight="false" outlineLevel="0" collapsed="false">
      <c r="A43" s="6" t="s">
        <v>1919</v>
      </c>
      <c r="B43" s="6" t="s">
        <v>1853</v>
      </c>
      <c r="C43" s="6" t="n">
        <v>9900</v>
      </c>
      <c r="D43" s="6" t="n">
        <v>73</v>
      </c>
      <c r="E43" s="6" t="s">
        <v>1622</v>
      </c>
      <c r="F43" s="6" t="s">
        <v>1920</v>
      </c>
      <c r="G43" s="6" t="s">
        <v>627</v>
      </c>
      <c r="H43" s="6" t="str">
        <f aca="false">IF(D43&lt;=35,"Yes","No")</f>
        <v>No</v>
      </c>
      <c r="I43" s="6"/>
    </row>
    <row r="44" customFormat="false" ht="15" hidden="false" customHeight="false" outlineLevel="0" collapsed="false">
      <c r="A44" s="6" t="s">
        <v>1921</v>
      </c>
      <c r="B44" s="6" t="s">
        <v>1853</v>
      </c>
      <c r="C44" s="6" t="n">
        <v>9900</v>
      </c>
      <c r="D44" s="6" t="n">
        <v>52</v>
      </c>
      <c r="E44" s="6" t="s">
        <v>1622</v>
      </c>
      <c r="F44" s="6" t="s">
        <v>1872</v>
      </c>
      <c r="G44" s="6" t="s">
        <v>627</v>
      </c>
      <c r="H44" s="6" t="str">
        <f aca="false">IF(D44&lt;=35,"Yes","No")</f>
        <v>No</v>
      </c>
      <c r="I44" s="6"/>
    </row>
    <row r="45" customFormat="false" ht="15" hidden="false" customHeight="false" outlineLevel="0" collapsed="false">
      <c r="A45" s="6" t="s">
        <v>1888</v>
      </c>
      <c r="B45" s="6" t="s">
        <v>1853</v>
      </c>
      <c r="C45" s="6" t="n">
        <v>9900</v>
      </c>
      <c r="D45" s="6" t="n">
        <v>55</v>
      </c>
      <c r="E45" s="6" t="s">
        <v>1622</v>
      </c>
      <c r="F45" s="6" t="s">
        <v>1889</v>
      </c>
      <c r="G45" s="6" t="s">
        <v>627</v>
      </c>
      <c r="H45" s="6" t="str">
        <f aca="false">IF(D45&lt;=35,"Yes","No")</f>
        <v>No</v>
      </c>
      <c r="I45" s="6"/>
    </row>
    <row r="46" customFormat="false" ht="15" hidden="false" customHeight="false" outlineLevel="0" collapsed="false">
      <c r="A46" s="6" t="s">
        <v>1896</v>
      </c>
      <c r="B46" s="6" t="s">
        <v>1853</v>
      </c>
      <c r="C46" s="6" t="n">
        <v>8100</v>
      </c>
      <c r="D46" s="6" t="n">
        <v>58</v>
      </c>
      <c r="E46" s="6" t="s">
        <v>1622</v>
      </c>
      <c r="F46" s="6" t="s">
        <v>1897</v>
      </c>
      <c r="G46" s="6" t="s">
        <v>627</v>
      </c>
      <c r="H46" s="6" t="str">
        <f aca="false">IF(D46&lt;=35,"Yes","No")</f>
        <v>No</v>
      </c>
      <c r="I46" s="6"/>
    </row>
    <row r="47" customFormat="false" ht="15" hidden="false" customHeight="false" outlineLevel="0" collapsed="false">
      <c r="A47" s="6" t="s">
        <v>1910</v>
      </c>
      <c r="B47" s="6" t="s">
        <v>1853</v>
      </c>
      <c r="C47" s="6" t="n">
        <v>8100</v>
      </c>
      <c r="D47" s="6" t="n">
        <v>53</v>
      </c>
      <c r="E47" s="6" t="s">
        <v>1622</v>
      </c>
      <c r="F47" s="6" t="s">
        <v>1911</v>
      </c>
      <c r="G47" s="6" t="s">
        <v>627</v>
      </c>
      <c r="H47" s="6" t="str">
        <f aca="false">IF(D47&lt;=35,"Yes","No")</f>
        <v>No</v>
      </c>
      <c r="I47" s="6"/>
    </row>
    <row r="48" customFormat="false" ht="15" hidden="false" customHeight="false" outlineLevel="0" collapsed="false">
      <c r="A48" s="6" t="s">
        <v>1900</v>
      </c>
      <c r="B48" s="6" t="s">
        <v>1853</v>
      </c>
      <c r="C48" s="6" t="n">
        <v>8100</v>
      </c>
      <c r="D48" s="6" t="n">
        <v>54</v>
      </c>
      <c r="E48" s="6" t="s">
        <v>1622</v>
      </c>
      <c r="F48" s="6" t="s">
        <v>1901</v>
      </c>
      <c r="G48" s="6" t="s">
        <v>627</v>
      </c>
      <c r="H48" s="6" t="str">
        <f aca="false">IF(D48&lt;=35,"Yes","No")</f>
        <v>No</v>
      </c>
      <c r="I48" s="6"/>
    </row>
    <row r="49" customFormat="false" ht="15" hidden="false" customHeight="false" outlineLevel="0" collapsed="false">
      <c r="A49" s="6" t="s">
        <v>1922</v>
      </c>
      <c r="B49" s="6" t="s">
        <v>1853</v>
      </c>
      <c r="C49" s="6" t="n">
        <v>8100</v>
      </c>
      <c r="D49" s="6" t="n">
        <v>64</v>
      </c>
      <c r="E49" s="6" t="s">
        <v>738</v>
      </c>
      <c r="F49" s="6" t="s">
        <v>1923</v>
      </c>
      <c r="G49" s="6" t="s">
        <v>627</v>
      </c>
      <c r="H49" s="6" t="str">
        <f aca="false">IF(D49&lt;=35,"Yes","No")</f>
        <v>No</v>
      </c>
      <c r="I49" s="6"/>
    </row>
    <row r="50" customFormat="false" ht="15" hidden="false" customHeight="false" outlineLevel="0" collapsed="false">
      <c r="A50" s="6" t="s">
        <v>1924</v>
      </c>
      <c r="B50" s="6" t="s">
        <v>198</v>
      </c>
      <c r="C50" s="6" t="n">
        <v>8100</v>
      </c>
      <c r="D50" s="6" t="n">
        <v>68</v>
      </c>
      <c r="E50" s="6" t="s">
        <v>1622</v>
      </c>
      <c r="F50" s="6" t="s">
        <v>1925</v>
      </c>
      <c r="G50" s="6" t="s">
        <v>627</v>
      </c>
      <c r="H50" s="6" t="str">
        <f aca="false">IF(D50&lt;=35,"Yes","No")</f>
        <v>No</v>
      </c>
      <c r="I50" s="6"/>
    </row>
    <row r="51" customFormat="false" ht="15" hidden="false" customHeight="false" outlineLevel="0" collapsed="false">
      <c r="A51" s="6" t="s">
        <v>1926</v>
      </c>
      <c r="B51" s="6" t="s">
        <v>1853</v>
      </c>
      <c r="C51" s="6" t="n">
        <v>8000</v>
      </c>
      <c r="D51" s="6" t="n">
        <v>61</v>
      </c>
      <c r="E51" s="6" t="s">
        <v>649</v>
      </c>
      <c r="F51" s="6" t="s">
        <v>1927</v>
      </c>
      <c r="G51" s="6" t="s">
        <v>648</v>
      </c>
      <c r="H51" s="6" t="str">
        <f aca="false">IF(D51&lt;=35,"Yes","No")</f>
        <v>No</v>
      </c>
      <c r="I51" s="6"/>
    </row>
    <row r="52" customFormat="false" ht="15" hidden="false" customHeight="false" outlineLevel="0" collapsed="false">
      <c r="A52" s="6" t="s">
        <v>1928</v>
      </c>
      <c r="B52" s="6" t="s">
        <v>198</v>
      </c>
      <c r="C52" s="6" t="n">
        <v>8000</v>
      </c>
      <c r="D52" s="6" t="n">
        <v>58</v>
      </c>
      <c r="E52" s="6" t="s">
        <v>649</v>
      </c>
      <c r="F52" s="6" t="s">
        <v>1929</v>
      </c>
      <c r="G52" s="6" t="s">
        <v>648</v>
      </c>
      <c r="H52" s="6" t="str">
        <f aca="false">IF(D52&lt;=35,"Yes","No")</f>
        <v>No</v>
      </c>
      <c r="I52" s="6"/>
    </row>
    <row r="53" customFormat="false" ht="15" hidden="false" customHeight="false" outlineLevel="0" collapsed="false">
      <c r="A53" s="6" t="s">
        <v>1024</v>
      </c>
      <c r="B53" s="6" t="s">
        <v>1853</v>
      </c>
      <c r="C53" s="6" t="n">
        <v>6600</v>
      </c>
      <c r="D53" s="6" t="n">
        <v>70</v>
      </c>
      <c r="E53" s="6" t="s">
        <v>649</v>
      </c>
      <c r="F53" s="6" t="s">
        <v>1881</v>
      </c>
      <c r="G53" s="6" t="s">
        <v>648</v>
      </c>
      <c r="H53" s="6" t="str">
        <f aca="false">IF(D53&lt;=35,"Yes","No")</f>
        <v>No</v>
      </c>
      <c r="I53" s="6"/>
    </row>
    <row r="54" customFormat="false" ht="15" hidden="false" customHeight="false" outlineLevel="0" collapsed="false">
      <c r="A54" s="6" t="s">
        <v>1924</v>
      </c>
      <c r="B54" s="6" t="s">
        <v>1853</v>
      </c>
      <c r="C54" s="6" t="n">
        <v>6600</v>
      </c>
      <c r="D54" s="6" t="n">
        <v>73</v>
      </c>
      <c r="E54" s="6" t="s">
        <v>1622</v>
      </c>
      <c r="F54" s="6" t="s">
        <v>1925</v>
      </c>
      <c r="G54" s="6" t="s">
        <v>627</v>
      </c>
      <c r="H54" s="6" t="str">
        <f aca="false">IF(D54&lt;=35,"Yes","No")</f>
        <v>No</v>
      </c>
      <c r="I54" s="6"/>
    </row>
    <row r="55" customFormat="false" ht="15" hidden="false" customHeight="false" outlineLevel="0" collapsed="false">
      <c r="A55" s="6" t="s">
        <v>1908</v>
      </c>
      <c r="B55" s="6" t="s">
        <v>1853</v>
      </c>
      <c r="C55" s="6" t="n">
        <v>6600</v>
      </c>
      <c r="D55" s="6" t="n">
        <v>44</v>
      </c>
      <c r="E55" s="6" t="s">
        <v>1622</v>
      </c>
      <c r="F55" s="6" t="s">
        <v>1909</v>
      </c>
      <c r="G55" s="6" t="s">
        <v>627</v>
      </c>
      <c r="H55" s="6" t="str">
        <f aca="false">IF(D55&lt;=35,"Yes","No")</f>
        <v>No</v>
      </c>
      <c r="I55" s="6"/>
    </row>
    <row r="56" customFormat="false" ht="15" hidden="false" customHeight="false" outlineLevel="0" collapsed="false">
      <c r="A56" s="6" t="s">
        <v>1898</v>
      </c>
      <c r="B56" s="6" t="s">
        <v>1853</v>
      </c>
      <c r="C56" s="6" t="n">
        <v>6600</v>
      </c>
      <c r="D56" s="6" t="n">
        <v>43</v>
      </c>
      <c r="E56" s="6" t="s">
        <v>1622</v>
      </c>
      <c r="F56" s="6" t="s">
        <v>1899</v>
      </c>
      <c r="G56" s="6" t="s">
        <v>627</v>
      </c>
      <c r="H56" s="6" t="str">
        <f aca="false">IF(D56&lt;=35,"Yes","No")</f>
        <v>No</v>
      </c>
      <c r="I56" s="6"/>
    </row>
    <row r="57" customFormat="false" ht="15" hidden="false" customHeight="false" outlineLevel="0" collapsed="false">
      <c r="A57" s="6" t="s">
        <v>1930</v>
      </c>
      <c r="B57" s="6" t="s">
        <v>1853</v>
      </c>
      <c r="C57" s="6" t="n">
        <v>6600</v>
      </c>
      <c r="D57" s="6" t="n">
        <v>53</v>
      </c>
      <c r="E57" s="6" t="s">
        <v>1622</v>
      </c>
      <c r="F57" s="6" t="s">
        <v>1931</v>
      </c>
      <c r="G57" s="6" t="s">
        <v>627</v>
      </c>
      <c r="H57" s="6" t="str">
        <f aca="false">IF(D57&lt;=35,"Yes","No")</f>
        <v>No</v>
      </c>
      <c r="I57" s="6"/>
    </row>
    <row r="58" customFormat="false" ht="15" hidden="false" customHeight="false" outlineLevel="0" collapsed="false">
      <c r="A58" s="6" t="s">
        <v>1932</v>
      </c>
      <c r="B58" s="6" t="s">
        <v>1853</v>
      </c>
      <c r="C58" s="6" t="n">
        <v>6600</v>
      </c>
      <c r="D58" s="6" t="n">
        <v>63</v>
      </c>
      <c r="E58" s="6" t="s">
        <v>1622</v>
      </c>
      <c r="F58" s="6" t="s">
        <v>1933</v>
      </c>
      <c r="G58" s="6" t="s">
        <v>627</v>
      </c>
      <c r="H58" s="6" t="str">
        <f aca="false">IF(D58&lt;=35,"Yes","No")</f>
        <v>No</v>
      </c>
      <c r="I58" s="6"/>
    </row>
    <row r="59" customFormat="false" ht="15" hidden="false" customHeight="false" outlineLevel="0" collapsed="false">
      <c r="A59" s="6" t="s">
        <v>1934</v>
      </c>
      <c r="B59" s="6" t="s">
        <v>1853</v>
      </c>
      <c r="C59" s="6" t="n">
        <v>6600</v>
      </c>
      <c r="D59" s="6" t="n">
        <v>63</v>
      </c>
      <c r="E59" s="6" t="s">
        <v>642</v>
      </c>
      <c r="F59" s="6" t="s">
        <v>1881</v>
      </c>
      <c r="G59" s="6" t="s">
        <v>627</v>
      </c>
      <c r="H59" s="6" t="str">
        <f aca="false">IF(D59&lt;=35,"Yes","No")</f>
        <v>No</v>
      </c>
      <c r="I59" s="6"/>
    </row>
    <row r="60" customFormat="false" ht="15" hidden="false" customHeight="false" outlineLevel="0" collapsed="false">
      <c r="A60" s="6" t="s">
        <v>1892</v>
      </c>
      <c r="B60" s="6" t="s">
        <v>198</v>
      </c>
      <c r="C60" s="6" t="n">
        <v>6600</v>
      </c>
      <c r="D60" s="6" t="n">
        <v>54</v>
      </c>
      <c r="E60" s="6" t="s">
        <v>1622</v>
      </c>
      <c r="F60" s="6" t="s">
        <v>1893</v>
      </c>
      <c r="G60" s="6" t="s">
        <v>627</v>
      </c>
      <c r="H60" s="6" t="str">
        <f aca="false">IF(D60&lt;=35,"Yes","No")</f>
        <v>No</v>
      </c>
      <c r="I60" s="6"/>
    </row>
    <row r="61" customFormat="false" ht="15" hidden="false" customHeight="false" outlineLevel="0" collapsed="false">
      <c r="A61" s="6" t="s">
        <v>1886</v>
      </c>
      <c r="B61" s="6" t="s">
        <v>198</v>
      </c>
      <c r="C61" s="6" t="n">
        <v>6600</v>
      </c>
      <c r="D61" s="6" t="n">
        <v>51</v>
      </c>
      <c r="E61" s="6" t="s">
        <v>1622</v>
      </c>
      <c r="F61" s="6" t="s">
        <v>1887</v>
      </c>
      <c r="G61" s="6" t="s">
        <v>627</v>
      </c>
      <c r="H61" s="6" t="str">
        <f aca="false">IF(D61&lt;=35,"Yes","No")</f>
        <v>No</v>
      </c>
      <c r="I61" s="6"/>
    </row>
    <row r="62" customFormat="false" ht="15" hidden="false" customHeight="false" outlineLevel="0" collapsed="false">
      <c r="A62" s="6" t="s">
        <v>1935</v>
      </c>
      <c r="B62" s="6" t="s">
        <v>1853</v>
      </c>
      <c r="C62" s="6" t="n">
        <v>6600</v>
      </c>
      <c r="D62" s="6" t="n">
        <v>57</v>
      </c>
      <c r="E62" s="6" t="s">
        <v>1936</v>
      </c>
      <c r="F62" s="6" t="s">
        <v>1861</v>
      </c>
      <c r="G62" s="6" t="s">
        <v>648</v>
      </c>
      <c r="H62" s="6" t="str">
        <f aca="false">IF(D62&lt;=35,"Yes","No")</f>
        <v>No</v>
      </c>
      <c r="I62" s="6"/>
    </row>
    <row r="63" customFormat="false" ht="15" hidden="false" customHeight="false" outlineLevel="0" collapsed="false">
      <c r="A63" s="6" t="s">
        <v>1890</v>
      </c>
      <c r="B63" s="6" t="s">
        <v>1853</v>
      </c>
      <c r="C63" s="6" t="n">
        <v>5700</v>
      </c>
      <c r="D63" s="6" t="n">
        <v>69</v>
      </c>
      <c r="E63" s="6" t="s">
        <v>649</v>
      </c>
      <c r="F63" s="6" t="s">
        <v>1891</v>
      </c>
      <c r="G63" s="6" t="s">
        <v>648</v>
      </c>
      <c r="H63" s="6" t="str">
        <f aca="false">IF(D63&lt;=35,"Yes","No")</f>
        <v>No</v>
      </c>
      <c r="I63" s="6"/>
    </row>
    <row r="64" customFormat="false" ht="15" hidden="false" customHeight="false" outlineLevel="0" collapsed="false">
      <c r="A64" s="6" t="s">
        <v>1937</v>
      </c>
      <c r="B64" s="6" t="s">
        <v>1853</v>
      </c>
      <c r="C64" s="6" t="n">
        <v>5700</v>
      </c>
      <c r="D64" s="6" t="n">
        <v>51</v>
      </c>
      <c r="E64" s="6" t="s">
        <v>1622</v>
      </c>
      <c r="F64" s="6" t="s">
        <v>1938</v>
      </c>
      <c r="G64" s="6" t="s">
        <v>627</v>
      </c>
      <c r="H64" s="6" t="str">
        <f aca="false">IF(D64&lt;=35,"Yes","No")</f>
        <v>No</v>
      </c>
      <c r="I64" s="6"/>
    </row>
    <row r="65" customFormat="false" ht="15" hidden="false" customHeight="false" outlineLevel="0" collapsed="false">
      <c r="A65" s="6" t="s">
        <v>1902</v>
      </c>
      <c r="B65" s="6" t="s">
        <v>1853</v>
      </c>
      <c r="C65" s="6" t="n">
        <v>5700</v>
      </c>
      <c r="D65" s="6" t="n">
        <v>58</v>
      </c>
      <c r="E65" s="6" t="s">
        <v>815</v>
      </c>
      <c r="F65" s="6" t="s">
        <v>1903</v>
      </c>
      <c r="G65" s="6" t="s">
        <v>627</v>
      </c>
      <c r="H65" s="6" t="str">
        <f aca="false">IF(D65&lt;=35,"Yes","No")</f>
        <v>No</v>
      </c>
      <c r="I65" s="6"/>
    </row>
    <row r="66" customFormat="false" ht="15" hidden="false" customHeight="false" outlineLevel="0" collapsed="false">
      <c r="A66" s="6" t="s">
        <v>1939</v>
      </c>
      <c r="B66" s="6" t="s">
        <v>198</v>
      </c>
      <c r="C66" s="6" t="n">
        <v>5700</v>
      </c>
      <c r="D66" s="6" t="n">
        <v>60</v>
      </c>
      <c r="E66" s="6" t="s">
        <v>859</v>
      </c>
      <c r="F66" s="6" t="s">
        <v>1940</v>
      </c>
      <c r="G66" s="6" t="s">
        <v>627</v>
      </c>
      <c r="H66" s="6" t="str">
        <f aca="false">IF(D66&lt;=35,"Yes","No")</f>
        <v>No</v>
      </c>
      <c r="I66" s="6"/>
    </row>
    <row r="67" customFormat="false" ht="15" hidden="false" customHeight="false" outlineLevel="0" collapsed="false">
      <c r="A67" s="6" t="s">
        <v>1941</v>
      </c>
      <c r="B67" s="6" t="s">
        <v>1853</v>
      </c>
      <c r="C67" s="6" t="n">
        <v>5400</v>
      </c>
      <c r="D67" s="6" t="n">
        <v>60</v>
      </c>
      <c r="E67" s="6" t="s">
        <v>738</v>
      </c>
      <c r="F67" s="6" t="s">
        <v>1942</v>
      </c>
      <c r="G67" s="6" t="s">
        <v>627</v>
      </c>
      <c r="H67" s="6" t="str">
        <f aca="false">IF(D67&lt;=35,"Yes","No")</f>
        <v>No</v>
      </c>
      <c r="I67" s="6"/>
    </row>
    <row r="68" customFormat="false" ht="15" hidden="false" customHeight="false" outlineLevel="0" collapsed="false">
      <c r="A68" s="6" t="s">
        <v>1919</v>
      </c>
      <c r="B68" s="6" t="s">
        <v>198</v>
      </c>
      <c r="C68" s="6" t="n">
        <v>5400</v>
      </c>
      <c r="D68" s="6" t="n">
        <v>66</v>
      </c>
      <c r="E68" s="6" t="s">
        <v>1622</v>
      </c>
      <c r="F68" s="6" t="s">
        <v>1920</v>
      </c>
      <c r="G68" s="6" t="s">
        <v>627</v>
      </c>
      <c r="H68" s="6" t="str">
        <f aca="false">IF(D68&lt;=35,"Yes","No")</f>
        <v>No</v>
      </c>
      <c r="I68" s="6"/>
    </row>
    <row r="69" customFormat="false" ht="15" hidden="false" customHeight="false" outlineLevel="0" collapsed="false">
      <c r="A69" s="6" t="s">
        <v>1943</v>
      </c>
      <c r="B69" s="6" t="s">
        <v>198</v>
      </c>
      <c r="C69" s="6" t="n">
        <v>5400</v>
      </c>
      <c r="D69" s="6" t="n">
        <v>64</v>
      </c>
      <c r="E69" s="6" t="s">
        <v>738</v>
      </c>
      <c r="F69" s="6" t="s">
        <v>1944</v>
      </c>
      <c r="G69" s="6" t="s">
        <v>627</v>
      </c>
      <c r="H69" s="6" t="str">
        <f aca="false">IF(D69&lt;=35,"Yes","No")</f>
        <v>No</v>
      </c>
      <c r="I69" s="6"/>
    </row>
    <row r="70" customFormat="false" ht="15" hidden="false" customHeight="false" outlineLevel="0" collapsed="false">
      <c r="A70" s="6" t="s">
        <v>1945</v>
      </c>
      <c r="B70" s="6" t="s">
        <v>1853</v>
      </c>
      <c r="C70" s="6" t="n">
        <v>4400</v>
      </c>
      <c r="D70" s="6" t="n">
        <v>68</v>
      </c>
      <c r="E70" s="6" t="s">
        <v>649</v>
      </c>
      <c r="F70" s="6" t="s">
        <v>1907</v>
      </c>
      <c r="G70" s="6" t="s">
        <v>648</v>
      </c>
      <c r="H70" s="6" t="str">
        <f aca="false">IF(D70&lt;=35,"Yes","No")</f>
        <v>No</v>
      </c>
      <c r="I70" s="6"/>
    </row>
    <row r="71" customFormat="false" ht="15" hidden="false" customHeight="false" outlineLevel="0" collapsed="false">
      <c r="A71" s="6" t="s">
        <v>1835</v>
      </c>
      <c r="B71" s="6" t="s">
        <v>198</v>
      </c>
      <c r="C71" s="6" t="n">
        <v>4400</v>
      </c>
      <c r="D71" s="6" t="n">
        <v>63</v>
      </c>
      <c r="E71" s="6" t="s">
        <v>649</v>
      </c>
      <c r="F71" s="6" t="s">
        <v>1946</v>
      </c>
      <c r="G71" s="6" t="s">
        <v>648</v>
      </c>
      <c r="H71" s="6" t="str">
        <f aca="false">IF(D71&lt;=35,"Yes","No")</f>
        <v>No</v>
      </c>
      <c r="I71" s="6"/>
    </row>
    <row r="72" customFormat="false" ht="15" hidden="false" customHeight="false" outlineLevel="0" collapsed="false">
      <c r="A72" s="6" t="s">
        <v>1947</v>
      </c>
      <c r="B72" s="6" t="s">
        <v>198</v>
      </c>
      <c r="C72" s="6" t="n">
        <v>4400</v>
      </c>
      <c r="D72" s="6" t="n">
        <v>56</v>
      </c>
      <c r="E72" s="6" t="s">
        <v>1622</v>
      </c>
      <c r="F72" s="6" t="s">
        <v>1948</v>
      </c>
      <c r="G72" s="6" t="s">
        <v>627</v>
      </c>
      <c r="H72" s="6" t="str">
        <f aca="false">IF(D72&lt;=35,"Yes","No")</f>
        <v>No</v>
      </c>
      <c r="I72" s="6"/>
    </row>
    <row r="73" customFormat="false" ht="15" hidden="false" customHeight="false" outlineLevel="0" collapsed="false">
      <c r="A73" s="6" t="s">
        <v>1949</v>
      </c>
      <c r="B73" s="6" t="s">
        <v>1853</v>
      </c>
      <c r="C73" s="6" t="n">
        <v>4400</v>
      </c>
      <c r="D73" s="6" t="n">
        <v>47</v>
      </c>
      <c r="E73" s="6" t="s">
        <v>649</v>
      </c>
      <c r="F73" s="6" t="s">
        <v>1950</v>
      </c>
      <c r="G73" s="6" t="s">
        <v>648</v>
      </c>
      <c r="H73" s="6" t="str">
        <f aca="false">IF(D73&lt;=35,"Yes","No")</f>
        <v>No</v>
      </c>
      <c r="I73" s="6"/>
    </row>
    <row r="74" customFormat="false" ht="15" hidden="false" customHeight="false" outlineLevel="0" collapsed="false">
      <c r="A74" s="6" t="s">
        <v>1951</v>
      </c>
      <c r="B74" s="6" t="s">
        <v>1853</v>
      </c>
      <c r="C74" s="6" t="n">
        <v>4400</v>
      </c>
      <c r="D74" s="6" t="n">
        <v>62</v>
      </c>
      <c r="E74" s="6" t="s">
        <v>1216</v>
      </c>
      <c r="F74" s="6" t="s">
        <v>1952</v>
      </c>
      <c r="G74" s="6" t="s">
        <v>627</v>
      </c>
      <c r="H74" s="6" t="str">
        <f aca="false">IF(D74&lt;=35,"Yes","No")</f>
        <v>No</v>
      </c>
      <c r="I74" s="6"/>
    </row>
    <row r="75" customFormat="false" ht="15" hidden="false" customHeight="false" outlineLevel="0" collapsed="false">
      <c r="A75" s="6" t="s">
        <v>1843</v>
      </c>
      <c r="B75" s="6" t="s">
        <v>198</v>
      </c>
      <c r="C75" s="6" t="n">
        <v>3600</v>
      </c>
      <c r="D75" s="6" t="n">
        <v>62</v>
      </c>
      <c r="E75" s="6" t="s">
        <v>686</v>
      </c>
      <c r="F75" s="6" t="s">
        <v>1891</v>
      </c>
      <c r="G75" s="6" t="s">
        <v>648</v>
      </c>
      <c r="H75" s="6" t="str">
        <f aca="false">IF(D75&lt;=35,"Yes","No")</f>
        <v>No</v>
      </c>
      <c r="I75" s="6"/>
    </row>
    <row r="76" customFormat="false" ht="15" hidden="false" customHeight="false" outlineLevel="0" collapsed="false">
      <c r="A76" s="6" t="s">
        <v>1913</v>
      </c>
      <c r="B76" s="6" t="s">
        <v>1853</v>
      </c>
      <c r="C76" s="6" t="n">
        <v>3600</v>
      </c>
      <c r="D76" s="6" t="n">
        <v>53</v>
      </c>
      <c r="E76" s="6" t="s">
        <v>1622</v>
      </c>
      <c r="F76" s="6" t="s">
        <v>1914</v>
      </c>
      <c r="G76" s="6" t="s">
        <v>627</v>
      </c>
      <c r="H76" s="6" t="str">
        <f aca="false">IF(D76&lt;=35,"Yes","No")</f>
        <v>No</v>
      </c>
      <c r="I76" s="6"/>
    </row>
    <row r="77" customFormat="false" ht="15" hidden="false" customHeight="false" outlineLevel="0" collapsed="false">
      <c r="A77" s="6" t="s">
        <v>1877</v>
      </c>
      <c r="B77" s="6" t="s">
        <v>1853</v>
      </c>
      <c r="C77" s="6" t="n">
        <v>3600</v>
      </c>
      <c r="D77" s="6" t="n">
        <v>55</v>
      </c>
      <c r="E77" s="6" t="s">
        <v>1622</v>
      </c>
      <c r="F77" s="6" t="s">
        <v>1878</v>
      </c>
      <c r="G77" s="6" t="s">
        <v>627</v>
      </c>
      <c r="H77" s="6" t="str">
        <f aca="false">IF(D77&lt;=35,"Yes","No")</f>
        <v>No</v>
      </c>
      <c r="I77" s="6"/>
    </row>
    <row r="78" customFormat="false" ht="15" hidden="false" customHeight="false" outlineLevel="0" collapsed="false">
      <c r="A78" s="6" t="s">
        <v>1787</v>
      </c>
      <c r="B78" s="6" t="s">
        <v>1853</v>
      </c>
      <c r="C78" s="6" t="n">
        <v>3600</v>
      </c>
      <c r="D78" s="6" t="n">
        <v>70</v>
      </c>
      <c r="E78" s="6" t="s">
        <v>738</v>
      </c>
      <c r="F78" s="6" t="s">
        <v>1953</v>
      </c>
      <c r="G78" s="6" t="s">
        <v>627</v>
      </c>
      <c r="H78" s="6" t="str">
        <f aca="false">IF(D78&lt;=35,"Yes","No")</f>
        <v>No</v>
      </c>
      <c r="I78" s="6"/>
    </row>
    <row r="79" customFormat="false" ht="15" hidden="false" customHeight="false" outlineLevel="0" collapsed="false">
      <c r="A79" s="6" t="s">
        <v>1862</v>
      </c>
      <c r="B79" s="6" t="s">
        <v>198</v>
      </c>
      <c r="C79" s="6" t="n">
        <v>3600</v>
      </c>
      <c r="D79" s="6" t="n">
        <v>62</v>
      </c>
      <c r="E79" s="6" t="s">
        <v>1622</v>
      </c>
      <c r="F79" s="6" t="s">
        <v>1863</v>
      </c>
      <c r="G79" s="6" t="s">
        <v>627</v>
      </c>
      <c r="H79" s="6" t="str">
        <f aca="false">IF(D79&lt;=35,"Yes","No")</f>
        <v>No</v>
      </c>
      <c r="I79" s="6"/>
    </row>
    <row r="80" customFormat="false" ht="15" hidden="false" customHeight="false" outlineLevel="0" collapsed="false">
      <c r="A80" s="6" t="s">
        <v>1937</v>
      </c>
      <c r="B80" s="6" t="s">
        <v>198</v>
      </c>
      <c r="C80" s="6" t="n">
        <v>3600</v>
      </c>
      <c r="D80" s="6" t="n">
        <v>52</v>
      </c>
      <c r="E80" s="6" t="s">
        <v>1622</v>
      </c>
      <c r="F80" s="6" t="s">
        <v>1938</v>
      </c>
      <c r="G80" s="6" t="s">
        <v>627</v>
      </c>
      <c r="H80" s="6" t="str">
        <f aca="false">IF(D80&lt;=35,"Yes","No")</f>
        <v>No</v>
      </c>
      <c r="I80" s="6"/>
    </row>
    <row r="81" customFormat="false" ht="15" hidden="false" customHeight="false" outlineLevel="0" collapsed="false">
      <c r="A81" s="6" t="s">
        <v>1930</v>
      </c>
      <c r="B81" s="6" t="s">
        <v>198</v>
      </c>
      <c r="C81" s="6" t="n">
        <v>3600</v>
      </c>
      <c r="D81" s="6" t="n">
        <v>59</v>
      </c>
      <c r="E81" s="6" t="s">
        <v>1622</v>
      </c>
      <c r="F81" s="6" t="s">
        <v>1931</v>
      </c>
      <c r="G81" s="6" t="s">
        <v>627</v>
      </c>
      <c r="H81" s="6" t="str">
        <f aca="false">IF(D81&lt;=35,"Yes","No")</f>
        <v>No</v>
      </c>
      <c r="I81" s="6"/>
    </row>
    <row r="82" customFormat="false" ht="15" hidden="false" customHeight="false" outlineLevel="0" collapsed="false">
      <c r="A82" s="6" t="s">
        <v>1600</v>
      </c>
      <c r="B82" s="6" t="s">
        <v>198</v>
      </c>
      <c r="C82" s="6" t="n">
        <v>3600</v>
      </c>
      <c r="D82" s="6" t="n">
        <v>49</v>
      </c>
      <c r="E82" s="6" t="s">
        <v>738</v>
      </c>
      <c r="F82" s="6" t="s">
        <v>1954</v>
      </c>
      <c r="G82" s="6" t="s">
        <v>627</v>
      </c>
      <c r="H82" s="6" t="str">
        <f aca="false">IF(D82&lt;=35,"Yes","No")</f>
        <v>No</v>
      </c>
      <c r="I82" s="6"/>
    </row>
    <row r="83" customFormat="false" ht="15" hidden="false" customHeight="false" outlineLevel="0" collapsed="false">
      <c r="A83" s="6" t="s">
        <v>1955</v>
      </c>
      <c r="B83" s="6" t="s">
        <v>1853</v>
      </c>
      <c r="C83" s="6" t="n">
        <v>3600</v>
      </c>
      <c r="D83" s="6" t="n">
        <v>55</v>
      </c>
      <c r="E83" s="6" t="s">
        <v>1956</v>
      </c>
      <c r="F83" s="6" t="s">
        <v>1918</v>
      </c>
      <c r="G83" s="6" t="s">
        <v>648</v>
      </c>
      <c r="H83" s="6" t="str">
        <f aca="false">IF(D83&lt;=35,"Yes","No")</f>
        <v>No</v>
      </c>
      <c r="I83" s="6"/>
    </row>
    <row r="84" customFormat="false" ht="15" hidden="false" customHeight="false" outlineLevel="0" collapsed="false">
      <c r="A84" s="6" t="s">
        <v>743</v>
      </c>
      <c r="B84" s="6" t="s">
        <v>1853</v>
      </c>
      <c r="C84" s="6" t="n">
        <v>3200</v>
      </c>
      <c r="D84" s="6" t="n">
        <v>60</v>
      </c>
      <c r="E84" s="6" t="s">
        <v>642</v>
      </c>
      <c r="F84" s="6" t="s">
        <v>1876</v>
      </c>
      <c r="G84" s="6" t="s">
        <v>627</v>
      </c>
      <c r="H84" s="6" t="str">
        <f aca="false">IF(D84&lt;=35,"Yes","No")</f>
        <v>No</v>
      </c>
      <c r="I84" s="6"/>
    </row>
    <row r="85" customFormat="false" ht="15" hidden="false" customHeight="false" outlineLevel="0" collapsed="false">
      <c r="A85" s="6" t="s">
        <v>1957</v>
      </c>
      <c r="B85" s="6" t="s">
        <v>1853</v>
      </c>
      <c r="C85" s="6" t="n">
        <v>3200</v>
      </c>
      <c r="D85" s="6" t="n">
        <v>63</v>
      </c>
      <c r="E85" s="6" t="s">
        <v>1216</v>
      </c>
      <c r="F85" s="6" t="s">
        <v>1940</v>
      </c>
      <c r="G85" s="6" t="s">
        <v>627</v>
      </c>
      <c r="H85" s="6" t="str">
        <f aca="false">IF(D85&lt;=35,"Yes","No")</f>
        <v>No</v>
      </c>
      <c r="I85" s="6"/>
    </row>
    <row r="86" customFormat="false" ht="15" hidden="false" customHeight="false" outlineLevel="0" collapsed="false">
      <c r="A86" s="6" t="s">
        <v>1958</v>
      </c>
      <c r="B86" s="6" t="s">
        <v>1853</v>
      </c>
      <c r="C86" s="6" t="n">
        <v>3100</v>
      </c>
      <c r="D86" s="6" t="n">
        <v>62</v>
      </c>
      <c r="E86" s="6" t="s">
        <v>649</v>
      </c>
      <c r="F86" s="6" t="s">
        <v>1905</v>
      </c>
      <c r="G86" s="6" t="s">
        <v>648</v>
      </c>
      <c r="H86" s="6" t="str">
        <f aca="false">IF(D86&lt;=35,"Yes","No")</f>
        <v>No</v>
      </c>
      <c r="I86" s="6"/>
    </row>
    <row r="87" customFormat="false" ht="15" hidden="false" customHeight="false" outlineLevel="0" collapsed="false">
      <c r="A87" s="6" t="s">
        <v>1959</v>
      </c>
      <c r="B87" s="6" t="s">
        <v>1853</v>
      </c>
      <c r="C87" s="6" t="n">
        <v>2900</v>
      </c>
      <c r="D87" s="6" t="n">
        <v>54</v>
      </c>
      <c r="E87" s="6" t="s">
        <v>649</v>
      </c>
      <c r="F87" s="6" t="s">
        <v>1887</v>
      </c>
      <c r="G87" s="6" t="s">
        <v>648</v>
      </c>
      <c r="H87" s="6" t="str">
        <f aca="false">IF(D87&lt;=35,"Yes","No")</f>
        <v>No</v>
      </c>
      <c r="I87" s="6"/>
    </row>
    <row r="88" customFormat="false" ht="15" hidden="false" customHeight="false" outlineLevel="0" collapsed="false">
      <c r="A88" s="6" t="s">
        <v>1338</v>
      </c>
      <c r="B88" s="6" t="s">
        <v>1853</v>
      </c>
      <c r="C88" s="6" t="n">
        <v>2900</v>
      </c>
      <c r="D88" s="6" t="n">
        <v>59</v>
      </c>
      <c r="E88" s="6" t="s">
        <v>700</v>
      </c>
      <c r="F88" s="6" t="s">
        <v>1861</v>
      </c>
      <c r="G88" s="6" t="s">
        <v>648</v>
      </c>
      <c r="H88" s="6" t="str">
        <f aca="false">IF(D88&lt;=35,"Yes","No")</f>
        <v>No</v>
      </c>
      <c r="I88" s="6"/>
    </row>
    <row r="89" customFormat="false" ht="15" hidden="false" customHeight="false" outlineLevel="0" collapsed="false">
      <c r="A89" s="6" t="s">
        <v>671</v>
      </c>
      <c r="B89" s="6" t="s">
        <v>1853</v>
      </c>
      <c r="C89" s="6" t="n">
        <v>2900</v>
      </c>
      <c r="D89" s="6" t="n">
        <v>59</v>
      </c>
      <c r="E89" s="6" t="s">
        <v>642</v>
      </c>
      <c r="F89" s="6" t="s">
        <v>1891</v>
      </c>
      <c r="G89" s="6" t="s">
        <v>627</v>
      </c>
      <c r="H89" s="6" t="str">
        <f aca="false">IF(D89&lt;=35,"Yes","No")</f>
        <v>No</v>
      </c>
      <c r="I89" s="6"/>
    </row>
    <row r="90" customFormat="false" ht="15" hidden="false" customHeight="false" outlineLevel="0" collapsed="false">
      <c r="A90" s="6" t="s">
        <v>1960</v>
      </c>
      <c r="B90" s="6" t="s">
        <v>1853</v>
      </c>
      <c r="C90" s="6" t="n">
        <v>2900</v>
      </c>
      <c r="D90" s="6" t="n">
        <v>62</v>
      </c>
      <c r="E90" s="6" t="s">
        <v>642</v>
      </c>
      <c r="F90" s="6" t="s">
        <v>1887</v>
      </c>
      <c r="G90" s="6" t="s">
        <v>627</v>
      </c>
      <c r="H90" s="6" t="str">
        <f aca="false">IF(D90&lt;=35,"Yes","No")</f>
        <v>No</v>
      </c>
      <c r="I90" s="6"/>
    </row>
    <row r="91" customFormat="false" ht="15" hidden="false" customHeight="false" outlineLevel="0" collapsed="false">
      <c r="A91" s="6" t="s">
        <v>1648</v>
      </c>
      <c r="B91" s="6" t="s">
        <v>1853</v>
      </c>
      <c r="C91" s="6" t="n">
        <v>2900</v>
      </c>
      <c r="D91" s="6" t="n">
        <v>57</v>
      </c>
      <c r="E91" s="6" t="s">
        <v>738</v>
      </c>
      <c r="F91" s="6" t="s">
        <v>1916</v>
      </c>
      <c r="G91" s="6" t="s">
        <v>627</v>
      </c>
      <c r="H91" s="6" t="str">
        <f aca="false">IF(D91&lt;=35,"Yes","No")</f>
        <v>No</v>
      </c>
      <c r="I91" s="6"/>
    </row>
    <row r="92" customFormat="false" ht="15" hidden="false" customHeight="false" outlineLevel="0" collapsed="false">
      <c r="A92" s="6" t="s">
        <v>1961</v>
      </c>
      <c r="B92" s="6" t="s">
        <v>1853</v>
      </c>
      <c r="C92" s="6" t="n">
        <v>2400</v>
      </c>
      <c r="D92" s="6" t="n">
        <v>50</v>
      </c>
      <c r="E92" s="6" t="s">
        <v>649</v>
      </c>
      <c r="F92" s="6" t="s">
        <v>1861</v>
      </c>
      <c r="G92" s="6" t="s">
        <v>648</v>
      </c>
      <c r="H92" s="6" t="str">
        <f aca="false">IF(D92&lt;=35,"Yes","No")</f>
        <v>No</v>
      </c>
      <c r="I92" s="6"/>
    </row>
    <row r="93" customFormat="false" ht="15" hidden="false" customHeight="false" outlineLevel="0" collapsed="false">
      <c r="A93" s="6" t="s">
        <v>1962</v>
      </c>
      <c r="B93" s="6" t="s">
        <v>1853</v>
      </c>
      <c r="C93" s="6" t="n">
        <v>2400</v>
      </c>
      <c r="D93" s="6" t="n">
        <v>64</v>
      </c>
      <c r="E93" s="6" t="s">
        <v>642</v>
      </c>
      <c r="F93" s="6" t="s">
        <v>1963</v>
      </c>
      <c r="G93" s="6" t="s">
        <v>627</v>
      </c>
      <c r="H93" s="6" t="str">
        <f aca="false">IF(D93&lt;=35,"Yes","No")</f>
        <v>No</v>
      </c>
      <c r="I93" s="6"/>
    </row>
    <row r="94" customFormat="false" ht="15" hidden="false" customHeight="false" outlineLevel="0" collapsed="false">
      <c r="A94" s="6" t="s">
        <v>1906</v>
      </c>
      <c r="B94" s="6" t="s">
        <v>198</v>
      </c>
      <c r="C94" s="6" t="n">
        <v>2400</v>
      </c>
      <c r="D94" s="6" t="n">
        <v>67</v>
      </c>
      <c r="E94" s="6" t="s">
        <v>1622</v>
      </c>
      <c r="F94" s="6" t="s">
        <v>1907</v>
      </c>
      <c r="G94" s="6" t="s">
        <v>627</v>
      </c>
      <c r="H94" s="6" t="str">
        <f aca="false">IF(D94&lt;=35,"Yes","No")</f>
        <v>No</v>
      </c>
      <c r="I94" s="6"/>
    </row>
    <row r="95" customFormat="false" ht="15" hidden="false" customHeight="false" outlineLevel="0" collapsed="false">
      <c r="A95" s="6" t="s">
        <v>1964</v>
      </c>
      <c r="B95" s="6" t="s">
        <v>198</v>
      </c>
      <c r="C95" s="6" t="n">
        <v>2400</v>
      </c>
      <c r="D95" s="6" t="n">
        <v>55</v>
      </c>
      <c r="E95" s="6" t="s">
        <v>649</v>
      </c>
      <c r="F95" s="6" t="s">
        <v>1965</v>
      </c>
      <c r="G95" s="6" t="s">
        <v>648</v>
      </c>
      <c r="H95" s="6" t="str">
        <f aca="false">IF(D95&lt;=35,"Yes","No")</f>
        <v>No</v>
      </c>
      <c r="I95" s="6"/>
    </row>
    <row r="96" customFormat="false" ht="15" hidden="false" customHeight="false" outlineLevel="0" collapsed="false">
      <c r="A96" s="6" t="s">
        <v>737</v>
      </c>
      <c r="B96" s="6" t="s">
        <v>1853</v>
      </c>
      <c r="C96" s="6" t="n">
        <v>1900</v>
      </c>
      <c r="D96" s="6" t="n">
        <v>58</v>
      </c>
      <c r="E96" s="6" t="s">
        <v>738</v>
      </c>
      <c r="F96" s="6" t="s">
        <v>1903</v>
      </c>
      <c r="G96" s="6" t="s">
        <v>627</v>
      </c>
      <c r="H96" s="6" t="str">
        <f aca="false">IF(D96&lt;=35,"Yes","No")</f>
        <v>No</v>
      </c>
      <c r="I96" s="6"/>
    </row>
    <row r="97" customFormat="false" ht="15" hidden="false" customHeight="false" outlineLevel="0" collapsed="false">
      <c r="A97" s="6" t="s">
        <v>1966</v>
      </c>
      <c r="B97" s="6" t="s">
        <v>1853</v>
      </c>
      <c r="C97" s="6" t="n">
        <v>1800</v>
      </c>
      <c r="D97" s="6" t="n">
        <v>65</v>
      </c>
      <c r="E97" s="6" t="s">
        <v>642</v>
      </c>
      <c r="F97" s="6" t="s">
        <v>1889</v>
      </c>
      <c r="G97" s="6" t="s">
        <v>627</v>
      </c>
      <c r="H97" s="6" t="str">
        <f aca="false">IF(D97&lt;=35,"Yes","No")</f>
        <v>No</v>
      </c>
      <c r="I97" s="6"/>
    </row>
    <row r="98" customFormat="false" ht="15" hidden="false" customHeight="false" outlineLevel="0" collapsed="false">
      <c r="A98" s="6" t="s">
        <v>1932</v>
      </c>
      <c r="B98" s="6" t="s">
        <v>198</v>
      </c>
      <c r="C98" s="6" t="n">
        <v>1800</v>
      </c>
      <c r="D98" s="6" t="n">
        <v>58</v>
      </c>
      <c r="E98" s="6" t="s">
        <v>1622</v>
      </c>
      <c r="F98" s="6" t="s">
        <v>1933</v>
      </c>
      <c r="G98" s="6" t="s">
        <v>627</v>
      </c>
      <c r="H98" s="6" t="str">
        <f aca="false">IF(D98&lt;=35,"Yes","No")</f>
        <v>No</v>
      </c>
      <c r="I98" s="6"/>
    </row>
    <row r="99" customFormat="false" ht="15" hidden="false" customHeight="false" outlineLevel="0" collapsed="false">
      <c r="A99" s="6" t="s">
        <v>1939</v>
      </c>
      <c r="B99" s="6" t="s">
        <v>1853</v>
      </c>
      <c r="C99" s="6" t="n">
        <v>1800</v>
      </c>
      <c r="D99" s="6" t="n">
        <v>62</v>
      </c>
      <c r="E99" s="6" t="s">
        <v>859</v>
      </c>
      <c r="F99" s="6" t="s">
        <v>1940</v>
      </c>
      <c r="G99" s="6" t="s">
        <v>627</v>
      </c>
      <c r="H99" s="6" t="str">
        <f aca="false">IF(D99&lt;=35,"Yes","No")</f>
        <v>No</v>
      </c>
      <c r="I99" s="6"/>
    </row>
    <row r="100" customFormat="false" ht="15" hidden="false" customHeight="false" outlineLevel="0" collapsed="false">
      <c r="A100" s="6" t="s">
        <v>1748</v>
      </c>
      <c r="B100" s="6" t="s">
        <v>1853</v>
      </c>
      <c r="C100" s="6" t="n">
        <v>1600</v>
      </c>
      <c r="D100" s="6" t="n">
        <v>58</v>
      </c>
      <c r="E100" s="6" t="s">
        <v>700</v>
      </c>
      <c r="F100" s="6" t="s">
        <v>1905</v>
      </c>
      <c r="G100" s="6" t="s">
        <v>648</v>
      </c>
      <c r="H100" s="6" t="str">
        <f aca="false">IF(D100&lt;=35,"Yes","No")</f>
        <v>No</v>
      </c>
      <c r="I100" s="6"/>
    </row>
    <row r="101" customFormat="false" ht="15" hidden="false" customHeight="false" outlineLevel="0" collapsed="false">
      <c r="A101" s="6" t="s">
        <v>1967</v>
      </c>
      <c r="B101" s="6" t="s">
        <v>198</v>
      </c>
      <c r="C101" s="6" t="n">
        <v>1600</v>
      </c>
      <c r="D101" s="6" t="n">
        <v>56</v>
      </c>
      <c r="E101" s="6" t="s">
        <v>738</v>
      </c>
      <c r="F101" s="6" t="s">
        <v>1968</v>
      </c>
      <c r="G101" s="6" t="s">
        <v>627</v>
      </c>
      <c r="H101" s="6" t="str">
        <f aca="false">IF(D101&lt;=35,"Yes","No")</f>
        <v>No</v>
      </c>
      <c r="I101" s="6"/>
    </row>
    <row r="102" customFormat="false" ht="15" hidden="false" customHeight="false" outlineLevel="0" collapsed="false">
      <c r="A102" s="6" t="s">
        <v>1969</v>
      </c>
      <c r="B102" s="6" t="s">
        <v>1853</v>
      </c>
      <c r="C102" s="6" t="n">
        <v>1500</v>
      </c>
      <c r="D102" s="6" t="n">
        <v>57</v>
      </c>
      <c r="E102" s="6" t="s">
        <v>649</v>
      </c>
      <c r="F102" s="6" t="s">
        <v>1865</v>
      </c>
      <c r="G102" s="6" t="s">
        <v>648</v>
      </c>
      <c r="H102" s="6" t="str">
        <f aca="false">IF(D102&lt;=35,"Yes","No")</f>
        <v>No</v>
      </c>
      <c r="I102" s="6"/>
    </row>
    <row r="103" customFormat="false" ht="15" hidden="false" customHeight="false" outlineLevel="0" collapsed="false">
      <c r="A103" s="6" t="s">
        <v>1970</v>
      </c>
      <c r="B103" s="6" t="s">
        <v>1853</v>
      </c>
      <c r="C103" s="6" t="n">
        <v>1500</v>
      </c>
      <c r="D103" s="6" t="n">
        <v>74</v>
      </c>
      <c r="E103" s="6" t="s">
        <v>700</v>
      </c>
      <c r="F103" s="6" t="s">
        <v>1863</v>
      </c>
      <c r="G103" s="6" t="s">
        <v>648</v>
      </c>
      <c r="H103" s="6" t="str">
        <f aca="false">IF(D103&lt;=35,"Yes","No")</f>
        <v>No</v>
      </c>
      <c r="I103" s="6" t="s">
        <v>1867</v>
      </c>
    </row>
    <row r="104" customFormat="false" ht="15" hidden="false" customHeight="false" outlineLevel="0" collapsed="false">
      <c r="A104" s="6" t="s">
        <v>1971</v>
      </c>
      <c r="B104" s="6" t="s">
        <v>198</v>
      </c>
      <c r="C104" s="6" t="n">
        <v>1500</v>
      </c>
      <c r="D104" s="6" t="n">
        <v>59</v>
      </c>
      <c r="E104" s="6" t="s">
        <v>700</v>
      </c>
      <c r="F104" s="6" t="s">
        <v>1891</v>
      </c>
      <c r="G104" s="6" t="s">
        <v>648</v>
      </c>
      <c r="H104" s="6" t="str">
        <f aca="false">IF(D104&lt;=35,"Yes","No")</f>
        <v>No</v>
      </c>
      <c r="I104" s="6"/>
    </row>
    <row r="105" customFormat="false" ht="15" hidden="false" customHeight="false" outlineLevel="0" collapsed="false">
      <c r="A105" s="6" t="s">
        <v>1972</v>
      </c>
      <c r="B105" s="6" t="s">
        <v>1853</v>
      </c>
      <c r="C105" s="6" t="n">
        <v>1500</v>
      </c>
      <c r="D105" s="6" t="n">
        <v>63</v>
      </c>
      <c r="E105" s="6" t="s">
        <v>738</v>
      </c>
      <c r="F105" s="6" t="s">
        <v>1973</v>
      </c>
      <c r="G105" s="6" t="s">
        <v>627</v>
      </c>
      <c r="H105" s="6" t="str">
        <f aca="false">IF(D105&lt;=35,"Yes","No")</f>
        <v>No</v>
      </c>
      <c r="I105" s="6"/>
    </row>
    <row r="106" customFormat="false" ht="15" hidden="false" customHeight="false" outlineLevel="0" collapsed="false">
      <c r="A106" s="6" t="s">
        <v>1974</v>
      </c>
      <c r="B106" s="6" t="s">
        <v>1853</v>
      </c>
      <c r="C106" s="6" t="n">
        <v>1500</v>
      </c>
      <c r="D106" s="6" t="n">
        <v>69</v>
      </c>
      <c r="E106" s="6" t="s">
        <v>937</v>
      </c>
      <c r="F106" s="6" t="s">
        <v>1918</v>
      </c>
      <c r="G106" s="6" t="s">
        <v>627</v>
      </c>
      <c r="H106" s="6" t="str">
        <f aca="false">IF(D106&lt;=35,"Yes","No")</f>
        <v>No</v>
      </c>
      <c r="I106" s="6"/>
    </row>
    <row r="107" customFormat="false" ht="15" hidden="false" customHeight="false" outlineLevel="0" collapsed="false">
      <c r="A107" s="6" t="s">
        <v>1975</v>
      </c>
      <c r="B107" s="6" t="s">
        <v>1853</v>
      </c>
      <c r="C107" s="6" t="n">
        <v>1300</v>
      </c>
      <c r="D107" s="6" t="n">
        <v>64</v>
      </c>
      <c r="E107" s="6" t="s">
        <v>738</v>
      </c>
      <c r="F107" s="6" t="s">
        <v>1952</v>
      </c>
      <c r="G107" s="6" t="s">
        <v>627</v>
      </c>
      <c r="H107" s="6" t="str">
        <f aca="false">IF(D107&lt;=35,"Yes","No")</f>
        <v>No</v>
      </c>
      <c r="I107" s="6"/>
    </row>
    <row r="108" customFormat="false" ht="15" hidden="false" customHeight="false" outlineLevel="0" collapsed="false">
      <c r="A108" s="6" t="s">
        <v>1976</v>
      </c>
      <c r="B108" s="6" t="s">
        <v>1853</v>
      </c>
      <c r="C108" s="6" t="n">
        <v>1300</v>
      </c>
      <c r="D108" s="6" t="n">
        <v>60</v>
      </c>
      <c r="E108" s="6" t="s">
        <v>642</v>
      </c>
      <c r="F108" s="6" t="s">
        <v>1977</v>
      </c>
      <c r="G108" s="6" t="s">
        <v>627</v>
      </c>
      <c r="H108" s="6" t="str">
        <f aca="false">IF(D108&lt;=35,"Yes","No")</f>
        <v>No</v>
      </c>
      <c r="I108" s="6"/>
    </row>
    <row r="109" customFormat="false" ht="15" hidden="false" customHeight="false" outlineLevel="0" collapsed="false">
      <c r="A109" s="6" t="s">
        <v>1847</v>
      </c>
      <c r="B109" s="6" t="s">
        <v>1853</v>
      </c>
      <c r="C109" s="6" t="n">
        <v>1300</v>
      </c>
      <c r="D109" s="6" t="n">
        <v>63</v>
      </c>
      <c r="E109" s="6" t="s">
        <v>1216</v>
      </c>
      <c r="F109" s="6" t="s">
        <v>1978</v>
      </c>
      <c r="G109" s="6" t="s">
        <v>627</v>
      </c>
      <c r="H109" s="6" t="str">
        <f aca="false">IF(D109&lt;=35,"Yes","No")</f>
        <v>No</v>
      </c>
      <c r="I109" s="6"/>
    </row>
    <row r="110" customFormat="false" ht="15" hidden="false" customHeight="false" outlineLevel="0" collapsed="false">
      <c r="A110" s="6" t="s">
        <v>1979</v>
      </c>
      <c r="B110" s="6" t="s">
        <v>1853</v>
      </c>
      <c r="C110" s="6" t="n">
        <v>1100</v>
      </c>
      <c r="D110" s="6" t="n">
        <v>59</v>
      </c>
      <c r="E110" s="6" t="s">
        <v>649</v>
      </c>
      <c r="F110" s="6" t="s">
        <v>1893</v>
      </c>
      <c r="G110" s="6" t="s">
        <v>648</v>
      </c>
      <c r="H110" s="6" t="str">
        <f aca="false">IF(D110&lt;=35,"Yes","No")</f>
        <v>No</v>
      </c>
      <c r="I110" s="6"/>
    </row>
    <row r="111" customFormat="false" ht="15" hidden="false" customHeight="false" outlineLevel="0" collapsed="false">
      <c r="A111" s="6" t="s">
        <v>1980</v>
      </c>
      <c r="B111" s="6" t="s">
        <v>1853</v>
      </c>
      <c r="C111" s="6" t="n">
        <v>1100</v>
      </c>
      <c r="D111" s="6" t="n">
        <v>61</v>
      </c>
      <c r="E111" s="6" t="s">
        <v>649</v>
      </c>
      <c r="F111" s="6" t="s">
        <v>1911</v>
      </c>
      <c r="G111" s="6" t="s">
        <v>648</v>
      </c>
      <c r="H111" s="6" t="str">
        <f aca="false">IF(D111&lt;=35,"Yes","No")</f>
        <v>No</v>
      </c>
      <c r="I111" s="6" t="s">
        <v>1867</v>
      </c>
    </row>
    <row r="112" customFormat="false" ht="15" hidden="false" customHeight="false" outlineLevel="0" collapsed="false">
      <c r="A112" s="6" t="s">
        <v>1981</v>
      </c>
      <c r="B112" s="6" t="s">
        <v>1853</v>
      </c>
      <c r="C112" s="6" t="n">
        <v>1100</v>
      </c>
      <c r="D112" s="6" t="n">
        <v>67</v>
      </c>
      <c r="E112" s="6" t="s">
        <v>1622</v>
      </c>
      <c r="F112" s="6" t="s">
        <v>1982</v>
      </c>
      <c r="G112" s="6" t="s">
        <v>627</v>
      </c>
      <c r="H112" s="6" t="str">
        <f aca="false">IF(D112&lt;=35,"Yes","No")</f>
        <v>No</v>
      </c>
      <c r="I112" s="6"/>
    </row>
    <row r="113" customFormat="false" ht="15" hidden="false" customHeight="false" outlineLevel="0" collapsed="false">
      <c r="A113" s="6" t="s">
        <v>1947</v>
      </c>
      <c r="B113" s="6" t="s">
        <v>1853</v>
      </c>
      <c r="C113" s="6" t="n">
        <v>1100</v>
      </c>
      <c r="D113" s="6" t="n">
        <v>55</v>
      </c>
      <c r="E113" s="6" t="s">
        <v>1622</v>
      </c>
      <c r="F113" s="6" t="s">
        <v>1948</v>
      </c>
      <c r="G113" s="6" t="s">
        <v>627</v>
      </c>
      <c r="H113" s="6" t="str">
        <f aca="false">IF(D113&lt;=35,"Yes","No")</f>
        <v>No</v>
      </c>
      <c r="I113" s="6"/>
    </row>
    <row r="114" customFormat="false" ht="15" hidden="false" customHeight="false" outlineLevel="0" collapsed="false">
      <c r="A114" s="6" t="s">
        <v>1983</v>
      </c>
      <c r="B114" s="6" t="s">
        <v>1853</v>
      </c>
      <c r="C114" s="6" t="n">
        <v>1100</v>
      </c>
      <c r="D114" s="6" t="n">
        <v>51</v>
      </c>
      <c r="E114" s="6" t="s">
        <v>1936</v>
      </c>
      <c r="F114" s="6" t="s">
        <v>1865</v>
      </c>
      <c r="G114" s="6" t="s">
        <v>648</v>
      </c>
      <c r="H114" s="6" t="str">
        <f aca="false">IF(D114&lt;=35,"Yes","No")</f>
        <v>No</v>
      </c>
      <c r="I114" s="6"/>
    </row>
    <row r="115" customFormat="false" ht="15" hidden="false" customHeight="false" outlineLevel="0" collapsed="false">
      <c r="A115" s="6" t="s">
        <v>1984</v>
      </c>
      <c r="B115" s="6" t="s">
        <v>1853</v>
      </c>
      <c r="C115" s="6" t="n">
        <v>1000</v>
      </c>
      <c r="D115" s="6" t="n">
        <v>52</v>
      </c>
      <c r="E115" s="6" t="s">
        <v>642</v>
      </c>
      <c r="F115" s="6" t="s">
        <v>1985</v>
      </c>
      <c r="G115" s="6" t="s">
        <v>627</v>
      </c>
      <c r="H115" s="6" t="str">
        <f aca="false">IF(D115&lt;=35,"Yes","No")</f>
        <v>No</v>
      </c>
      <c r="I115" s="6"/>
    </row>
    <row r="116" customFormat="false" ht="15" hidden="false" customHeight="false" outlineLevel="0" collapsed="false">
      <c r="A116" s="6" t="s">
        <v>751</v>
      </c>
      <c r="B116" s="6" t="s">
        <v>1853</v>
      </c>
      <c r="C116" s="6" t="n">
        <v>990</v>
      </c>
      <c r="D116" s="6" t="n">
        <v>14</v>
      </c>
      <c r="E116" s="6" t="s">
        <v>649</v>
      </c>
      <c r="F116" s="6" t="s">
        <v>1861</v>
      </c>
      <c r="G116" s="6" t="s">
        <v>648</v>
      </c>
      <c r="H116" s="6" t="str">
        <f aca="false">IF(D116&lt;=35,"Yes","No")</f>
        <v>Yes</v>
      </c>
      <c r="I116" s="6"/>
    </row>
    <row r="117" customFormat="false" ht="15" hidden="false" customHeight="false" outlineLevel="0" collapsed="false">
      <c r="A117" s="6" t="s">
        <v>966</v>
      </c>
      <c r="B117" s="6" t="s">
        <v>1853</v>
      </c>
      <c r="C117" s="6" t="n">
        <v>990</v>
      </c>
      <c r="D117" s="6" t="n">
        <v>17</v>
      </c>
      <c r="E117" s="6" t="s">
        <v>642</v>
      </c>
      <c r="F117" s="6" t="s">
        <v>1986</v>
      </c>
      <c r="G117" s="6" t="s">
        <v>627</v>
      </c>
      <c r="H117" s="6" t="str">
        <f aca="false">IF(D117&lt;=35,"Yes","No")</f>
        <v>Yes</v>
      </c>
      <c r="I117" s="6"/>
    </row>
    <row r="118" customFormat="false" ht="15" hidden="false" customHeight="false" outlineLevel="0" collapsed="false">
      <c r="A118" s="6" t="s">
        <v>912</v>
      </c>
      <c r="B118" s="6" t="s">
        <v>1853</v>
      </c>
      <c r="C118" s="6" t="n">
        <v>990</v>
      </c>
      <c r="D118" s="6" t="n">
        <v>15</v>
      </c>
      <c r="E118" s="6" t="s">
        <v>649</v>
      </c>
      <c r="F118" s="6" t="s">
        <v>1987</v>
      </c>
      <c r="G118" s="6" t="s">
        <v>648</v>
      </c>
      <c r="H118" s="6" t="str">
        <f aca="false">IF(D118&lt;=35,"Yes","No")</f>
        <v>Yes</v>
      </c>
      <c r="I118" s="6"/>
    </row>
    <row r="119" customFormat="false" ht="15" hidden="false" customHeight="false" outlineLevel="0" collapsed="false">
      <c r="A119" s="6" t="s">
        <v>737</v>
      </c>
      <c r="B119" s="6" t="s">
        <v>198</v>
      </c>
      <c r="C119" s="6" t="n">
        <v>920</v>
      </c>
      <c r="D119" s="6" t="n">
        <v>5</v>
      </c>
      <c r="E119" s="6" t="s">
        <v>738</v>
      </c>
      <c r="F119" s="6" t="s">
        <v>1903</v>
      </c>
      <c r="G119" s="6" t="s">
        <v>627</v>
      </c>
      <c r="H119" s="6" t="str">
        <f aca="false">IF(D119&lt;=35,"Yes","No")</f>
        <v>Yes</v>
      </c>
      <c r="I119" s="6"/>
    </row>
    <row r="120" customFormat="false" ht="15" hidden="false" customHeight="false" outlineLevel="0" collapsed="false">
      <c r="A120" s="6" t="s">
        <v>833</v>
      </c>
      <c r="B120" s="6" t="s">
        <v>1853</v>
      </c>
      <c r="C120" s="6" t="n">
        <v>920</v>
      </c>
      <c r="D120" s="6" t="n">
        <v>20</v>
      </c>
      <c r="E120" s="6" t="s">
        <v>649</v>
      </c>
      <c r="F120" s="6" t="s">
        <v>1872</v>
      </c>
      <c r="G120" s="6" t="s">
        <v>648</v>
      </c>
      <c r="H120" s="6" t="str">
        <f aca="false">IF(D120&lt;=35,"Yes","No")</f>
        <v>Yes</v>
      </c>
      <c r="I120" s="6"/>
    </row>
    <row r="121" customFormat="false" ht="15" hidden="false" customHeight="false" outlineLevel="0" collapsed="false">
      <c r="A121" s="6" t="s">
        <v>79</v>
      </c>
      <c r="B121" s="6" t="s">
        <v>1853</v>
      </c>
      <c r="C121" s="6" t="n">
        <v>880</v>
      </c>
      <c r="D121" s="6" t="n">
        <v>5</v>
      </c>
      <c r="E121" s="6" t="s">
        <v>642</v>
      </c>
      <c r="F121" s="6" t="s">
        <v>1988</v>
      </c>
      <c r="G121" s="6" t="s">
        <v>627</v>
      </c>
      <c r="H121" s="6" t="str">
        <f aca="false">IF(D121&lt;=35,"Yes","No")</f>
        <v>Yes</v>
      </c>
      <c r="I121" s="6"/>
    </row>
    <row r="122" customFormat="false" ht="15" hidden="false" customHeight="false" outlineLevel="0" collapsed="false">
      <c r="A122" s="6" t="s">
        <v>54</v>
      </c>
      <c r="B122" s="6" t="s">
        <v>198</v>
      </c>
      <c r="C122" s="6" t="n">
        <v>880</v>
      </c>
      <c r="D122" s="6" t="n">
        <v>6</v>
      </c>
      <c r="E122" s="6" t="s">
        <v>642</v>
      </c>
      <c r="F122" s="6" t="s">
        <v>1946</v>
      </c>
      <c r="G122" s="6" t="s">
        <v>627</v>
      </c>
      <c r="H122" s="6" t="str">
        <f aca="false">IF(D122&lt;=35,"Yes","No")</f>
        <v>Yes</v>
      </c>
      <c r="I122" s="6"/>
    </row>
    <row r="123" customFormat="false" ht="15" hidden="false" customHeight="false" outlineLevel="0" collapsed="false">
      <c r="A123" s="6" t="s">
        <v>908</v>
      </c>
      <c r="B123" s="6" t="s">
        <v>1853</v>
      </c>
      <c r="C123" s="6" t="n">
        <v>880</v>
      </c>
      <c r="D123" s="6" t="n">
        <v>12</v>
      </c>
      <c r="E123" s="6" t="s">
        <v>642</v>
      </c>
      <c r="F123" s="6" t="s">
        <v>1963</v>
      </c>
      <c r="G123" s="6" t="s">
        <v>627</v>
      </c>
      <c r="H123" s="6" t="str">
        <f aca="false">IF(D123&lt;=35,"Yes","No")</f>
        <v>Yes</v>
      </c>
      <c r="I123" s="6"/>
    </row>
    <row r="124" customFormat="false" ht="15" hidden="false" customHeight="false" outlineLevel="0" collapsed="false">
      <c r="A124" s="6" t="s">
        <v>876</v>
      </c>
      <c r="B124" s="6" t="s">
        <v>198</v>
      </c>
      <c r="C124" s="6" t="n">
        <v>810</v>
      </c>
      <c r="D124" s="6" t="n">
        <v>20</v>
      </c>
      <c r="E124" s="6" t="s">
        <v>649</v>
      </c>
      <c r="F124" s="6" t="s">
        <v>1878</v>
      </c>
      <c r="G124" s="6" t="s">
        <v>648</v>
      </c>
      <c r="H124" s="6" t="str">
        <f aca="false">IF(D124&lt;=35,"Yes","No")</f>
        <v>Yes</v>
      </c>
      <c r="I124" s="6"/>
    </row>
    <row r="125" customFormat="false" ht="15" hidden="false" customHeight="false" outlineLevel="0" collapsed="false">
      <c r="A125" s="6" t="s">
        <v>88</v>
      </c>
      <c r="B125" s="6" t="s">
        <v>1853</v>
      </c>
      <c r="C125" s="6" t="n">
        <v>810</v>
      </c>
      <c r="D125" s="6" t="n">
        <v>6</v>
      </c>
      <c r="E125" s="6" t="s">
        <v>642</v>
      </c>
      <c r="F125" s="6" t="s">
        <v>1884</v>
      </c>
      <c r="G125" s="6" t="s">
        <v>627</v>
      </c>
      <c r="H125" s="6" t="str">
        <f aca="false">IF(D125&lt;=35,"Yes","No")</f>
        <v>Yes</v>
      </c>
      <c r="I125" s="6"/>
    </row>
    <row r="126" customFormat="false" ht="15" hidden="false" customHeight="false" outlineLevel="0" collapsed="false">
      <c r="A126" s="6" t="s">
        <v>105</v>
      </c>
      <c r="B126" s="6" t="s">
        <v>1853</v>
      </c>
      <c r="C126" s="6" t="n">
        <v>760</v>
      </c>
      <c r="D126" s="6" t="n">
        <v>6</v>
      </c>
      <c r="E126" s="6" t="s">
        <v>642</v>
      </c>
      <c r="F126" s="6" t="s">
        <v>1891</v>
      </c>
      <c r="G126" s="6" t="s">
        <v>627</v>
      </c>
      <c r="H126" s="6" t="str">
        <f aca="false">IF(D126&lt;=35,"Yes","No")</f>
        <v>Yes</v>
      </c>
      <c r="I126" s="6"/>
    </row>
    <row r="127" customFormat="false" ht="15" hidden="false" customHeight="false" outlineLevel="0" collapsed="false">
      <c r="A127" s="6" t="s">
        <v>1003</v>
      </c>
      <c r="B127" s="6" t="s">
        <v>1853</v>
      </c>
      <c r="C127" s="6" t="n">
        <v>760</v>
      </c>
      <c r="D127" s="6" t="n">
        <v>13</v>
      </c>
      <c r="E127" s="6" t="s">
        <v>642</v>
      </c>
      <c r="F127" s="6" t="s">
        <v>1918</v>
      </c>
      <c r="G127" s="6" t="s">
        <v>627</v>
      </c>
      <c r="H127" s="6" t="str">
        <f aca="false">IF(D127&lt;=35,"Yes","No")</f>
        <v>Yes</v>
      </c>
      <c r="I127" s="6"/>
    </row>
    <row r="128" customFormat="false" ht="15" hidden="false" customHeight="false" outlineLevel="0" collapsed="false">
      <c r="A128" s="6" t="s">
        <v>1223</v>
      </c>
      <c r="B128" s="6" t="s">
        <v>1853</v>
      </c>
      <c r="C128" s="6" t="n">
        <v>760</v>
      </c>
      <c r="D128" s="6" t="n">
        <v>24</v>
      </c>
      <c r="E128" s="6" t="s">
        <v>649</v>
      </c>
      <c r="F128" s="6" t="s">
        <v>1989</v>
      </c>
      <c r="G128" s="6" t="s">
        <v>648</v>
      </c>
      <c r="H128" s="6" t="str">
        <f aca="false">IF(D128&lt;=35,"Yes","No")</f>
        <v>Yes</v>
      </c>
      <c r="I128" s="6"/>
    </row>
    <row r="129" customFormat="false" ht="15" hidden="false" customHeight="false" outlineLevel="0" collapsed="false">
      <c r="A129" s="6" t="s">
        <v>1182</v>
      </c>
      <c r="B129" s="6" t="s">
        <v>1853</v>
      </c>
      <c r="C129" s="6" t="n">
        <v>740</v>
      </c>
      <c r="D129" s="6" t="n">
        <v>21</v>
      </c>
      <c r="E129" s="6" t="s">
        <v>850</v>
      </c>
      <c r="F129" s="6" t="s">
        <v>1861</v>
      </c>
      <c r="G129" s="6" t="s">
        <v>648</v>
      </c>
      <c r="H129" s="6" t="str">
        <f aca="false">IF(D129&lt;=35,"Yes","No")</f>
        <v>Yes</v>
      </c>
      <c r="I129" s="6"/>
    </row>
    <row r="130" customFormat="false" ht="15" hidden="false" customHeight="false" outlineLevel="0" collapsed="false">
      <c r="A130" s="6" t="s">
        <v>54</v>
      </c>
      <c r="B130" s="6" t="s">
        <v>1853</v>
      </c>
      <c r="C130" s="6" t="n">
        <v>740</v>
      </c>
      <c r="D130" s="6" t="n">
        <v>6</v>
      </c>
      <c r="E130" s="6" t="s">
        <v>642</v>
      </c>
      <c r="F130" s="6" t="s">
        <v>1946</v>
      </c>
      <c r="G130" s="6" t="s">
        <v>627</v>
      </c>
      <c r="H130" s="6" t="str">
        <f aca="false">IF(D130&lt;=35,"Yes","No")</f>
        <v>Yes</v>
      </c>
      <c r="I130" s="6"/>
    </row>
    <row r="131" customFormat="false" ht="15" hidden="false" customHeight="false" outlineLevel="0" collapsed="false">
      <c r="A131" s="6" t="s">
        <v>1028</v>
      </c>
      <c r="B131" s="6" t="s">
        <v>1853</v>
      </c>
      <c r="C131" s="6" t="n">
        <v>740</v>
      </c>
      <c r="D131" s="6" t="n">
        <v>13</v>
      </c>
      <c r="E131" s="6" t="s">
        <v>738</v>
      </c>
      <c r="F131" s="6" t="s">
        <v>1990</v>
      </c>
      <c r="G131" s="6" t="s">
        <v>627</v>
      </c>
      <c r="H131" s="6" t="str">
        <f aca="false">IF(D131&lt;=35,"Yes","No")</f>
        <v>Yes</v>
      </c>
      <c r="I131" s="6" t="s">
        <v>1867</v>
      </c>
    </row>
    <row r="132" customFormat="false" ht="15" hidden="false" customHeight="false" outlineLevel="0" collapsed="false">
      <c r="A132" s="6" t="s">
        <v>1742</v>
      </c>
      <c r="B132" s="6" t="s">
        <v>198</v>
      </c>
      <c r="C132" s="6" t="n">
        <v>740</v>
      </c>
      <c r="D132" s="6" t="n">
        <v>19</v>
      </c>
      <c r="E132" s="6" t="s">
        <v>1622</v>
      </c>
      <c r="F132" s="6" t="s">
        <v>1861</v>
      </c>
      <c r="G132" s="6" t="s">
        <v>627</v>
      </c>
      <c r="H132" s="6" t="str">
        <f aca="false">IF(D132&lt;=35,"Yes","No")</f>
        <v>Yes</v>
      </c>
      <c r="I132" s="6"/>
    </row>
    <row r="133" customFormat="false" ht="15" hidden="false" customHeight="false" outlineLevel="0" collapsed="false">
      <c r="A133" s="6" t="s">
        <v>742</v>
      </c>
      <c r="B133" s="6" t="s">
        <v>1853</v>
      </c>
      <c r="C133" s="6" t="n">
        <v>740</v>
      </c>
      <c r="D133" s="6" t="n">
        <v>5</v>
      </c>
      <c r="E133" s="6" t="s">
        <v>642</v>
      </c>
      <c r="F133" s="6" t="s">
        <v>1876</v>
      </c>
      <c r="G133" s="6" t="s">
        <v>627</v>
      </c>
      <c r="H133" s="6" t="str">
        <f aca="false">IF(D133&lt;=35,"Yes","No")</f>
        <v>Yes</v>
      </c>
      <c r="I133" s="6"/>
    </row>
    <row r="134" customFormat="false" ht="15" hidden="false" customHeight="false" outlineLevel="0" collapsed="false">
      <c r="A134" s="6" t="s">
        <v>655</v>
      </c>
      <c r="B134" s="6" t="s">
        <v>1853</v>
      </c>
      <c r="C134" s="6" t="n">
        <v>720</v>
      </c>
      <c r="D134" s="6" t="n">
        <v>7</v>
      </c>
      <c r="E134" s="6" t="s">
        <v>642</v>
      </c>
      <c r="F134" s="6" t="s">
        <v>1988</v>
      </c>
      <c r="G134" s="6" t="s">
        <v>627</v>
      </c>
      <c r="H134" s="6" t="str">
        <f aca="false">IF(D134&lt;=35,"Yes","No")</f>
        <v>Yes</v>
      </c>
      <c r="I134" s="6"/>
    </row>
    <row r="135" customFormat="false" ht="15" hidden="false" customHeight="false" outlineLevel="0" collapsed="false">
      <c r="A135" s="6" t="s">
        <v>1219</v>
      </c>
      <c r="B135" s="6" t="s">
        <v>1853</v>
      </c>
      <c r="C135" s="6" t="n">
        <v>720</v>
      </c>
      <c r="D135" s="6" t="n">
        <v>22</v>
      </c>
      <c r="E135" s="6" t="s">
        <v>649</v>
      </c>
      <c r="F135" s="6" t="s">
        <v>1991</v>
      </c>
      <c r="G135" s="6" t="s">
        <v>648</v>
      </c>
      <c r="H135" s="6" t="str">
        <f aca="false">IF(D135&lt;=35,"Yes","No")</f>
        <v>Yes</v>
      </c>
      <c r="I135" s="6"/>
    </row>
    <row r="136" customFormat="false" ht="15" hidden="false" customHeight="false" outlineLevel="0" collapsed="false">
      <c r="A136" s="6" t="s">
        <v>1091</v>
      </c>
      <c r="B136" s="6" t="s">
        <v>198</v>
      </c>
      <c r="C136" s="6" t="n">
        <v>720</v>
      </c>
      <c r="D136" s="6" t="n">
        <v>15</v>
      </c>
      <c r="E136" s="6" t="s">
        <v>649</v>
      </c>
      <c r="F136" s="6" t="s">
        <v>1992</v>
      </c>
      <c r="G136" s="6" t="s">
        <v>648</v>
      </c>
      <c r="H136" s="6" t="str">
        <f aca="false">IF(D136&lt;=35,"Yes","No")</f>
        <v>Yes</v>
      </c>
      <c r="I136" s="6"/>
    </row>
    <row r="137" customFormat="false" ht="15" hidden="false" customHeight="false" outlineLevel="0" collapsed="false">
      <c r="A137" s="6" t="s">
        <v>814</v>
      </c>
      <c r="B137" s="6" t="s">
        <v>198</v>
      </c>
      <c r="C137" s="6" t="n">
        <v>720</v>
      </c>
      <c r="D137" s="6" t="n">
        <v>5</v>
      </c>
      <c r="E137" s="6" t="s">
        <v>815</v>
      </c>
      <c r="F137" s="6" t="s">
        <v>1944</v>
      </c>
      <c r="G137" s="6" t="s">
        <v>627</v>
      </c>
      <c r="H137" s="6" t="str">
        <f aca="false">IF(D137&lt;=35,"Yes","No")</f>
        <v>Yes</v>
      </c>
      <c r="I137" s="6"/>
    </row>
    <row r="138" customFormat="false" ht="15" hidden="false" customHeight="false" outlineLevel="0" collapsed="false">
      <c r="A138" s="6" t="s">
        <v>682</v>
      </c>
      <c r="B138" s="6" t="s">
        <v>1853</v>
      </c>
      <c r="C138" s="6" t="n">
        <v>660</v>
      </c>
      <c r="D138" s="6" t="n">
        <v>6</v>
      </c>
      <c r="E138" s="6" t="s">
        <v>642</v>
      </c>
      <c r="F138" s="6" t="s">
        <v>1882</v>
      </c>
      <c r="G138" s="6" t="s">
        <v>627</v>
      </c>
      <c r="H138" s="6" t="str">
        <f aca="false">IF(D138&lt;=35,"Yes","No")</f>
        <v>Yes</v>
      </c>
      <c r="I138" s="6" t="s">
        <v>1867</v>
      </c>
    </row>
    <row r="139" customFormat="false" ht="15" hidden="false" customHeight="false" outlineLevel="0" collapsed="false">
      <c r="A139" s="6" t="s">
        <v>1745</v>
      </c>
      <c r="B139" s="6" t="s">
        <v>198</v>
      </c>
      <c r="C139" s="6" t="n">
        <v>660</v>
      </c>
      <c r="D139" s="6" t="n">
        <v>16</v>
      </c>
      <c r="E139" s="6" t="s">
        <v>1622</v>
      </c>
      <c r="F139" s="6" t="s">
        <v>1885</v>
      </c>
      <c r="G139" s="6" t="s">
        <v>627</v>
      </c>
      <c r="H139" s="6" t="str">
        <f aca="false">IF(D139&lt;=35,"Yes","No")</f>
        <v>Yes</v>
      </c>
      <c r="I139" s="6"/>
    </row>
    <row r="140" customFormat="false" ht="15" hidden="false" customHeight="false" outlineLevel="0" collapsed="false">
      <c r="A140" s="6" t="s">
        <v>1993</v>
      </c>
      <c r="B140" s="6" t="s">
        <v>1853</v>
      </c>
      <c r="C140" s="6" t="n">
        <v>610</v>
      </c>
      <c r="D140" s="6" t="n">
        <v>12</v>
      </c>
      <c r="E140" s="6" t="s">
        <v>649</v>
      </c>
      <c r="F140" s="6" t="s">
        <v>1905</v>
      </c>
      <c r="G140" s="6" t="s">
        <v>648</v>
      </c>
      <c r="H140" s="6" t="str">
        <f aca="false">IF(D140&lt;=35,"Yes","No")</f>
        <v>Yes</v>
      </c>
      <c r="I140" s="6"/>
    </row>
    <row r="141" customFormat="false" ht="15" hidden="false" customHeight="false" outlineLevel="0" collapsed="false">
      <c r="A141" s="6" t="s">
        <v>677</v>
      </c>
      <c r="B141" s="6" t="s">
        <v>1853</v>
      </c>
      <c r="C141" s="6" t="n">
        <v>590</v>
      </c>
      <c r="D141" s="6" t="n">
        <v>14</v>
      </c>
      <c r="E141" s="6" t="s">
        <v>649</v>
      </c>
      <c r="F141" s="6" t="s">
        <v>1963</v>
      </c>
      <c r="G141" s="6" t="s">
        <v>648</v>
      </c>
      <c r="H141" s="6" t="str">
        <f aca="false">IF(D141&lt;=35,"Yes","No")</f>
        <v>Yes</v>
      </c>
      <c r="I141" s="6" t="s">
        <v>1867</v>
      </c>
    </row>
    <row r="142" customFormat="false" ht="15" hidden="false" customHeight="false" outlineLevel="0" collapsed="false">
      <c r="A142" s="6" t="s">
        <v>799</v>
      </c>
      <c r="B142" s="6" t="s">
        <v>1853</v>
      </c>
      <c r="C142" s="6" t="n">
        <v>590</v>
      </c>
      <c r="D142" s="6" t="n">
        <v>6</v>
      </c>
      <c r="E142" s="6" t="s">
        <v>649</v>
      </c>
      <c r="F142" s="6" t="s">
        <v>1920</v>
      </c>
      <c r="G142" s="6" t="s">
        <v>648</v>
      </c>
      <c r="H142" s="6" t="str">
        <f aca="false">IF(D142&lt;=35,"Yes","No")</f>
        <v>Yes</v>
      </c>
      <c r="I142" s="6" t="s">
        <v>1867</v>
      </c>
    </row>
    <row r="143" customFormat="false" ht="15" hidden="false" customHeight="false" outlineLevel="0" collapsed="false">
      <c r="A143" s="6" t="s">
        <v>132</v>
      </c>
      <c r="B143" s="6" t="s">
        <v>1853</v>
      </c>
      <c r="C143" s="6" t="n">
        <v>590</v>
      </c>
      <c r="D143" s="6" t="n">
        <v>6</v>
      </c>
      <c r="E143" s="6" t="s">
        <v>649</v>
      </c>
      <c r="F143" s="6" t="s">
        <v>1882</v>
      </c>
      <c r="G143" s="6" t="s">
        <v>648</v>
      </c>
      <c r="H143" s="6" t="str">
        <f aca="false">IF(D143&lt;=35,"Yes","No")</f>
        <v>Yes</v>
      </c>
      <c r="I143" s="6"/>
    </row>
    <row r="144" customFormat="false" ht="15" hidden="false" customHeight="false" outlineLevel="0" collapsed="false">
      <c r="A144" s="6" t="s">
        <v>695</v>
      </c>
      <c r="B144" s="6" t="s">
        <v>1853</v>
      </c>
      <c r="C144" s="6" t="n">
        <v>590</v>
      </c>
      <c r="D144" s="6" t="n">
        <v>11</v>
      </c>
      <c r="E144" s="6" t="s">
        <v>649</v>
      </c>
      <c r="F144" s="6" t="s">
        <v>1885</v>
      </c>
      <c r="G144" s="6" t="s">
        <v>648</v>
      </c>
      <c r="H144" s="6" t="str">
        <f aca="false">IF(D144&lt;=35,"Yes","No")</f>
        <v>Yes</v>
      </c>
      <c r="I144" s="6" t="s">
        <v>1867</v>
      </c>
    </row>
    <row r="145" customFormat="false" ht="15" hidden="false" customHeight="false" outlineLevel="0" collapsed="false">
      <c r="A145" s="6" t="s">
        <v>949</v>
      </c>
      <c r="B145" s="6" t="s">
        <v>1853</v>
      </c>
      <c r="C145" s="6" t="n">
        <v>590</v>
      </c>
      <c r="D145" s="6" t="n">
        <v>6</v>
      </c>
      <c r="E145" s="6" t="s">
        <v>692</v>
      </c>
      <c r="F145" s="6" t="s">
        <v>1893</v>
      </c>
      <c r="G145" s="6" t="s">
        <v>648</v>
      </c>
      <c r="H145" s="6" t="str">
        <f aca="false">IF(D145&lt;=35,"Yes","No")</f>
        <v>Yes</v>
      </c>
      <c r="I145" s="6" t="s">
        <v>1867</v>
      </c>
    </row>
    <row r="146" customFormat="false" ht="15" hidden="false" customHeight="false" outlineLevel="0" collapsed="false">
      <c r="A146" s="6" t="s">
        <v>952</v>
      </c>
      <c r="B146" s="6" t="s">
        <v>1853</v>
      </c>
      <c r="C146" s="6" t="n">
        <v>590</v>
      </c>
      <c r="D146" s="6" t="n">
        <v>6</v>
      </c>
      <c r="E146" s="6" t="s">
        <v>692</v>
      </c>
      <c r="F146" s="6" t="s">
        <v>1861</v>
      </c>
      <c r="G146" s="6" t="s">
        <v>648</v>
      </c>
      <c r="H146" s="6" t="str">
        <f aca="false">IF(D146&lt;=35,"Yes","No")</f>
        <v>Yes</v>
      </c>
      <c r="I146" s="6" t="s">
        <v>1867</v>
      </c>
    </row>
    <row r="147" customFormat="false" ht="15" hidden="false" customHeight="false" outlineLevel="0" collapsed="false">
      <c r="A147" s="6" t="s">
        <v>1104</v>
      </c>
      <c r="B147" s="6" t="s">
        <v>1853</v>
      </c>
      <c r="C147" s="6" t="n">
        <v>590</v>
      </c>
      <c r="D147" s="6" t="n">
        <v>12</v>
      </c>
      <c r="E147" s="6" t="s">
        <v>850</v>
      </c>
      <c r="F147" s="6" t="s">
        <v>1891</v>
      </c>
      <c r="G147" s="6" t="s">
        <v>648</v>
      </c>
      <c r="H147" s="6" t="str">
        <f aca="false">IF(D147&lt;=35,"Yes","No")</f>
        <v>Yes</v>
      </c>
      <c r="I147" s="6" t="s">
        <v>1867</v>
      </c>
    </row>
    <row r="148" customFormat="false" ht="15" hidden="false" customHeight="false" outlineLevel="0" collapsed="false">
      <c r="A148" s="6" t="s">
        <v>929</v>
      </c>
      <c r="B148" s="6" t="s">
        <v>1853</v>
      </c>
      <c r="C148" s="6" t="n">
        <v>590</v>
      </c>
      <c r="D148" s="6" t="n">
        <v>6</v>
      </c>
      <c r="E148" s="6" t="s">
        <v>850</v>
      </c>
      <c r="F148" s="6" t="s">
        <v>1905</v>
      </c>
      <c r="G148" s="6" t="s">
        <v>648</v>
      </c>
      <c r="H148" s="6" t="str">
        <f aca="false">IF(D148&lt;=35,"Yes","No")</f>
        <v>Yes</v>
      </c>
      <c r="I148" s="6"/>
    </row>
    <row r="149" customFormat="false" ht="15" hidden="false" customHeight="false" outlineLevel="0" collapsed="false">
      <c r="A149" s="6" t="s">
        <v>704</v>
      </c>
      <c r="B149" s="6" t="s">
        <v>1853</v>
      </c>
      <c r="C149" s="6" t="n">
        <v>590</v>
      </c>
      <c r="D149" s="6" t="n">
        <v>9</v>
      </c>
      <c r="E149" s="6" t="s">
        <v>700</v>
      </c>
      <c r="F149" s="6" t="s">
        <v>1881</v>
      </c>
      <c r="G149" s="6" t="s">
        <v>648</v>
      </c>
      <c r="H149" s="6" t="str">
        <f aca="false">IF(D149&lt;=35,"Yes","No")</f>
        <v>Yes</v>
      </c>
      <c r="I149" s="6" t="s">
        <v>1867</v>
      </c>
    </row>
    <row r="150" customFormat="false" ht="15" hidden="false" customHeight="false" outlineLevel="0" collapsed="false">
      <c r="A150" s="6" t="s">
        <v>699</v>
      </c>
      <c r="B150" s="6" t="s">
        <v>1853</v>
      </c>
      <c r="C150" s="6" t="n">
        <v>590</v>
      </c>
      <c r="D150" s="6" t="n">
        <v>10</v>
      </c>
      <c r="E150" s="6" t="s">
        <v>700</v>
      </c>
      <c r="F150" s="6" t="s">
        <v>1895</v>
      </c>
      <c r="G150" s="6" t="s">
        <v>648</v>
      </c>
      <c r="H150" s="6" t="str">
        <f aca="false">IF(D150&lt;=35,"Yes","No")</f>
        <v>Yes</v>
      </c>
      <c r="I150" s="6" t="s">
        <v>1867</v>
      </c>
    </row>
    <row r="151" customFormat="false" ht="15" hidden="false" customHeight="false" outlineLevel="0" collapsed="false">
      <c r="A151" s="6" t="s">
        <v>1006</v>
      </c>
      <c r="B151" s="6" t="s">
        <v>1853</v>
      </c>
      <c r="C151" s="6" t="n">
        <v>590</v>
      </c>
      <c r="D151" s="6" t="n">
        <v>8</v>
      </c>
      <c r="E151" s="6" t="s">
        <v>700</v>
      </c>
      <c r="F151" s="6" t="s">
        <v>1884</v>
      </c>
      <c r="G151" s="6" t="s">
        <v>648</v>
      </c>
      <c r="H151" s="6" t="str">
        <f aca="false">IF(D151&lt;=35,"Yes","No")</f>
        <v>Yes</v>
      </c>
      <c r="I151" s="6"/>
    </row>
    <row r="152" customFormat="false" ht="15" hidden="false" customHeight="false" outlineLevel="0" collapsed="false">
      <c r="A152" s="6" t="s">
        <v>1110</v>
      </c>
      <c r="B152" s="6" t="s">
        <v>198</v>
      </c>
      <c r="C152" s="6" t="n">
        <v>590</v>
      </c>
      <c r="D152" s="6" t="n">
        <v>12</v>
      </c>
      <c r="E152" s="6" t="s">
        <v>784</v>
      </c>
      <c r="F152" s="6" t="s">
        <v>1918</v>
      </c>
      <c r="G152" s="6" t="s">
        <v>648</v>
      </c>
      <c r="H152" s="6" t="str">
        <f aca="false">IF(D152&lt;=35,"Yes","No")</f>
        <v>Yes</v>
      </c>
      <c r="I152" s="6" t="s">
        <v>1867</v>
      </c>
    </row>
    <row r="153" customFormat="false" ht="15" hidden="false" customHeight="false" outlineLevel="0" collapsed="false">
      <c r="A153" s="6" t="s">
        <v>1725</v>
      </c>
      <c r="B153" s="6" t="s">
        <v>198</v>
      </c>
      <c r="C153" s="6" t="n">
        <v>590</v>
      </c>
      <c r="D153" s="6" t="n">
        <v>34</v>
      </c>
      <c r="E153" s="6" t="s">
        <v>649</v>
      </c>
      <c r="F153" s="6" t="s">
        <v>1863</v>
      </c>
      <c r="G153" s="6" t="s">
        <v>648</v>
      </c>
      <c r="H153" s="6" t="str">
        <f aca="false">IF(D153&lt;=35,"Yes","No")</f>
        <v>Yes</v>
      </c>
      <c r="I153" s="6" t="s">
        <v>1867</v>
      </c>
    </row>
    <row r="154" customFormat="false" ht="15" hidden="false" customHeight="false" outlineLevel="0" collapsed="false">
      <c r="A154" s="6" t="s">
        <v>663</v>
      </c>
      <c r="B154" s="6" t="s">
        <v>198</v>
      </c>
      <c r="C154" s="6" t="n">
        <v>590</v>
      </c>
      <c r="D154" s="6" t="n">
        <v>0</v>
      </c>
      <c r="E154" s="6" t="s">
        <v>649</v>
      </c>
      <c r="F154" s="6" t="s">
        <v>1901</v>
      </c>
      <c r="G154" s="6" t="s">
        <v>648</v>
      </c>
      <c r="H154" s="6" t="str">
        <f aca="false">IF(D154&lt;=35,"Yes","No")</f>
        <v>Yes</v>
      </c>
      <c r="I154" s="6" t="s">
        <v>1867</v>
      </c>
    </row>
    <row r="155" customFormat="false" ht="15" hidden="false" customHeight="false" outlineLevel="0" collapsed="false">
      <c r="A155" s="6" t="s">
        <v>691</v>
      </c>
      <c r="B155" s="6" t="s">
        <v>198</v>
      </c>
      <c r="C155" s="6" t="n">
        <v>590</v>
      </c>
      <c r="D155" s="6" t="n">
        <v>5</v>
      </c>
      <c r="E155" s="6" t="s">
        <v>692</v>
      </c>
      <c r="F155" s="6" t="s">
        <v>1911</v>
      </c>
      <c r="G155" s="6" t="s">
        <v>648</v>
      </c>
      <c r="H155" s="6" t="str">
        <f aca="false">IF(D155&lt;=35,"Yes","No")</f>
        <v>Yes</v>
      </c>
      <c r="I155" s="6" t="s">
        <v>1867</v>
      </c>
    </row>
    <row r="156" customFormat="false" ht="15" hidden="false" customHeight="false" outlineLevel="0" collapsed="false">
      <c r="A156" s="6" t="s">
        <v>955</v>
      </c>
      <c r="B156" s="6" t="s">
        <v>198</v>
      </c>
      <c r="C156" s="6" t="n">
        <v>590</v>
      </c>
      <c r="D156" s="6" t="n">
        <v>6</v>
      </c>
      <c r="E156" s="6" t="s">
        <v>850</v>
      </c>
      <c r="F156" s="6" t="s">
        <v>1889</v>
      </c>
      <c r="G156" s="6" t="s">
        <v>648</v>
      </c>
      <c r="H156" s="6" t="str">
        <f aca="false">IF(D156&lt;=35,"Yes","No")</f>
        <v>Yes</v>
      </c>
      <c r="I156" s="6" t="s">
        <v>1867</v>
      </c>
    </row>
    <row r="157" customFormat="false" ht="15" hidden="false" customHeight="false" outlineLevel="0" collapsed="false">
      <c r="A157" s="6" t="s">
        <v>704</v>
      </c>
      <c r="B157" s="6" t="s">
        <v>198</v>
      </c>
      <c r="C157" s="6" t="n">
        <v>590</v>
      </c>
      <c r="D157" s="6" t="n">
        <v>6</v>
      </c>
      <c r="E157" s="6" t="s">
        <v>700</v>
      </c>
      <c r="F157" s="6" t="s">
        <v>1881</v>
      </c>
      <c r="G157" s="6" t="s">
        <v>648</v>
      </c>
      <c r="H157" s="6" t="str">
        <f aca="false">IF(D157&lt;=35,"Yes","No")</f>
        <v>Yes</v>
      </c>
      <c r="I157" s="6" t="s">
        <v>1867</v>
      </c>
    </row>
    <row r="158" customFormat="false" ht="15" hidden="false" customHeight="false" outlineLevel="0" collapsed="false">
      <c r="A158" s="6" t="s">
        <v>699</v>
      </c>
      <c r="B158" s="6" t="s">
        <v>198</v>
      </c>
      <c r="C158" s="6" t="n">
        <v>590</v>
      </c>
      <c r="D158" s="6" t="n">
        <v>14</v>
      </c>
      <c r="E158" s="6" t="s">
        <v>700</v>
      </c>
      <c r="F158" s="6" t="s">
        <v>1895</v>
      </c>
      <c r="G158" s="6" t="s">
        <v>648</v>
      </c>
      <c r="H158" s="6" t="str">
        <f aca="false">IF(D158&lt;=35,"Yes","No")</f>
        <v>Yes</v>
      </c>
      <c r="I158" s="6" t="s">
        <v>1867</v>
      </c>
    </row>
    <row r="159" customFormat="false" ht="15" hidden="false" customHeight="false" outlineLevel="0" collapsed="false">
      <c r="A159" s="6" t="s">
        <v>719</v>
      </c>
      <c r="B159" s="6" t="s">
        <v>198</v>
      </c>
      <c r="C159" s="6" t="n">
        <v>590</v>
      </c>
      <c r="D159" s="6" t="n">
        <v>5</v>
      </c>
      <c r="E159" s="6" t="s">
        <v>700</v>
      </c>
      <c r="F159" s="6" t="s">
        <v>1911</v>
      </c>
      <c r="G159" s="6" t="s">
        <v>648</v>
      </c>
      <c r="H159" s="6" t="str">
        <f aca="false">IF(D159&lt;=35,"Yes","No")</f>
        <v>Yes</v>
      </c>
      <c r="I159" s="6" t="s">
        <v>1867</v>
      </c>
    </row>
    <row r="160" customFormat="false" ht="15" hidden="false" customHeight="false" outlineLevel="0" collapsed="false">
      <c r="A160" s="6" t="s">
        <v>986</v>
      </c>
      <c r="B160" s="6" t="s">
        <v>1853</v>
      </c>
      <c r="C160" s="6" t="n">
        <v>590</v>
      </c>
      <c r="D160" s="6" t="n">
        <v>18</v>
      </c>
      <c r="E160" s="6" t="s">
        <v>881</v>
      </c>
      <c r="F160" s="6" t="s">
        <v>1876</v>
      </c>
      <c r="G160" s="6" t="s">
        <v>627</v>
      </c>
      <c r="H160" s="6" t="str">
        <f aca="false">IF(D160&lt;=35,"Yes","No")</f>
        <v>Yes</v>
      </c>
      <c r="I160" s="6" t="s">
        <v>1867</v>
      </c>
    </row>
    <row r="161" customFormat="false" ht="15" hidden="false" customHeight="false" outlineLevel="0" collapsed="false">
      <c r="A161" s="6" t="s">
        <v>1009</v>
      </c>
      <c r="B161" s="6" t="s">
        <v>1853</v>
      </c>
      <c r="C161" s="6" t="n">
        <v>590</v>
      </c>
      <c r="D161" s="6" t="n">
        <v>8</v>
      </c>
      <c r="E161" s="6" t="s">
        <v>642</v>
      </c>
      <c r="F161" s="6" t="s">
        <v>1897</v>
      </c>
      <c r="G161" s="6" t="s">
        <v>627</v>
      </c>
      <c r="H161" s="6" t="str">
        <f aca="false">IF(D161&lt;=35,"Yes","No")</f>
        <v>Yes</v>
      </c>
      <c r="I161" s="6"/>
    </row>
    <row r="162" customFormat="false" ht="15" hidden="false" customHeight="false" outlineLevel="0" collapsed="false">
      <c r="A162" s="6" t="s">
        <v>933</v>
      </c>
      <c r="B162" s="6" t="s">
        <v>1853</v>
      </c>
      <c r="C162" s="6" t="n">
        <v>590</v>
      </c>
      <c r="D162" s="6" t="n">
        <v>6</v>
      </c>
      <c r="E162" s="6" t="s">
        <v>642</v>
      </c>
      <c r="F162" s="6" t="s">
        <v>1994</v>
      </c>
      <c r="G162" s="6" t="s">
        <v>627</v>
      </c>
      <c r="H162" s="6" t="str">
        <f aca="false">IF(D162&lt;=35,"Yes","No")</f>
        <v>Yes</v>
      </c>
      <c r="I162" s="6"/>
    </row>
    <row r="163" customFormat="false" ht="15" hidden="false" customHeight="false" outlineLevel="0" collapsed="false">
      <c r="A163" s="6" t="s">
        <v>1371</v>
      </c>
      <c r="B163" s="6" t="s">
        <v>1853</v>
      </c>
      <c r="C163" s="6" t="n">
        <v>590</v>
      </c>
      <c r="D163" s="6" t="n">
        <v>27</v>
      </c>
      <c r="E163" s="6" t="s">
        <v>738</v>
      </c>
      <c r="F163" s="6" t="s">
        <v>1995</v>
      </c>
      <c r="G163" s="6" t="s">
        <v>627</v>
      </c>
      <c r="H163" s="6" t="str">
        <f aca="false">IF(D163&lt;=35,"Yes","No")</f>
        <v>Yes</v>
      </c>
      <c r="I163" s="6" t="s">
        <v>1867</v>
      </c>
    </row>
    <row r="164" customFormat="false" ht="15" hidden="false" customHeight="false" outlineLevel="0" collapsed="false">
      <c r="A164" s="6" t="s">
        <v>1107</v>
      </c>
      <c r="B164" s="6" t="s">
        <v>1853</v>
      </c>
      <c r="C164" s="6" t="n">
        <v>590</v>
      </c>
      <c r="D164" s="6" t="n">
        <v>33</v>
      </c>
      <c r="E164" s="6" t="s">
        <v>738</v>
      </c>
      <c r="F164" s="6" t="s">
        <v>1940</v>
      </c>
      <c r="G164" s="6" t="s">
        <v>627</v>
      </c>
      <c r="H164" s="6" t="str">
        <f aca="false">IF(D164&lt;=35,"Yes","No")</f>
        <v>Yes</v>
      </c>
      <c r="I164" s="6"/>
    </row>
    <row r="165" customFormat="false" ht="15" hidden="false" customHeight="false" outlineLevel="0" collapsed="false">
      <c r="A165" s="6" t="s">
        <v>722</v>
      </c>
      <c r="B165" s="6" t="s">
        <v>198</v>
      </c>
      <c r="C165" s="6" t="n">
        <v>590</v>
      </c>
      <c r="D165" s="6" t="n">
        <v>6</v>
      </c>
      <c r="E165" s="6" t="s">
        <v>642</v>
      </c>
      <c r="F165" s="6" t="s">
        <v>1895</v>
      </c>
      <c r="G165" s="6" t="s">
        <v>627</v>
      </c>
      <c r="H165" s="6" t="str">
        <f aca="false">IF(D165&lt;=35,"Yes","No")</f>
        <v>Yes</v>
      </c>
      <c r="I165" s="6"/>
    </row>
    <row r="166" customFormat="false" ht="15" hidden="false" customHeight="false" outlineLevel="0" collapsed="false">
      <c r="A166" s="6" t="s">
        <v>760</v>
      </c>
      <c r="B166" s="6" t="s">
        <v>198</v>
      </c>
      <c r="C166" s="6" t="n">
        <v>590</v>
      </c>
      <c r="D166" s="6" t="n">
        <v>4</v>
      </c>
      <c r="E166" s="6" t="s">
        <v>642</v>
      </c>
      <c r="F166" s="6" t="s">
        <v>1996</v>
      </c>
      <c r="G166" s="6" t="s">
        <v>627</v>
      </c>
      <c r="H166" s="6" t="str">
        <f aca="false">IF(D166&lt;=35,"Yes","No")</f>
        <v>Yes</v>
      </c>
      <c r="I166" s="6"/>
    </row>
    <row r="167" customFormat="false" ht="15" hidden="false" customHeight="false" outlineLevel="0" collapsed="false">
      <c r="A167" s="6" t="s">
        <v>895</v>
      </c>
      <c r="B167" s="6" t="s">
        <v>198</v>
      </c>
      <c r="C167" s="6" t="n">
        <v>590</v>
      </c>
      <c r="D167" s="6" t="n">
        <v>5</v>
      </c>
      <c r="E167" s="6" t="s">
        <v>642</v>
      </c>
      <c r="F167" s="6" t="s">
        <v>1911</v>
      </c>
      <c r="G167" s="6" t="s">
        <v>627</v>
      </c>
      <c r="H167" s="6" t="str">
        <f aca="false">IF(D167&lt;=35,"Yes","No")</f>
        <v>Yes</v>
      </c>
      <c r="I167" s="6" t="s">
        <v>1867</v>
      </c>
    </row>
    <row r="168" customFormat="false" ht="15" hidden="false" customHeight="false" outlineLevel="0" collapsed="false">
      <c r="A168" s="6" t="s">
        <v>1787</v>
      </c>
      <c r="B168" s="6" t="s">
        <v>198</v>
      </c>
      <c r="C168" s="6" t="n">
        <v>590</v>
      </c>
      <c r="D168" s="6" t="n">
        <v>20</v>
      </c>
      <c r="E168" s="6" t="s">
        <v>738</v>
      </c>
      <c r="F168" s="6" t="s">
        <v>1953</v>
      </c>
      <c r="G168" s="6" t="s">
        <v>627</v>
      </c>
      <c r="H168" s="6" t="str">
        <f aca="false">IF(D168&lt;=35,"Yes","No")</f>
        <v>Yes</v>
      </c>
      <c r="I168" s="6" t="s">
        <v>1867</v>
      </c>
    </row>
    <row r="169" customFormat="false" ht="15" hidden="false" customHeight="false" outlineLevel="0" collapsed="false">
      <c r="A169" s="6" t="s">
        <v>803</v>
      </c>
      <c r="B169" s="6" t="s">
        <v>198</v>
      </c>
      <c r="C169" s="6" t="n">
        <v>590</v>
      </c>
      <c r="D169" s="6" t="n">
        <v>12</v>
      </c>
      <c r="E169" s="6" t="s">
        <v>738</v>
      </c>
      <c r="F169" s="6" t="s">
        <v>1997</v>
      </c>
      <c r="G169" s="6" t="s">
        <v>627</v>
      </c>
      <c r="H169" s="6" t="str">
        <f aca="false">IF(D169&lt;=35,"Yes","No")</f>
        <v>Yes</v>
      </c>
      <c r="I169" s="6" t="s">
        <v>1867</v>
      </c>
    </row>
    <row r="170" customFormat="false" ht="15" hidden="false" customHeight="false" outlineLevel="0" collapsed="false">
      <c r="A170" s="6" t="s">
        <v>846</v>
      </c>
      <c r="B170" s="6" t="s">
        <v>198</v>
      </c>
      <c r="C170" s="6" t="n">
        <v>590</v>
      </c>
      <c r="D170" s="6" t="n">
        <v>7</v>
      </c>
      <c r="E170" s="6" t="s">
        <v>738</v>
      </c>
      <c r="F170" s="6" t="s">
        <v>1948</v>
      </c>
      <c r="G170" s="6" t="s">
        <v>627</v>
      </c>
      <c r="H170" s="6" t="str">
        <f aca="false">IF(D170&lt;=35,"Yes","No")</f>
        <v>Yes</v>
      </c>
      <c r="I170" s="6" t="s">
        <v>1867</v>
      </c>
    </row>
    <row r="171" customFormat="false" ht="15" hidden="false" customHeight="false" outlineLevel="0" collapsed="false">
      <c r="A171" s="6" t="s">
        <v>1079</v>
      </c>
      <c r="B171" s="6" t="s">
        <v>1853</v>
      </c>
      <c r="C171" s="6" t="n">
        <v>590</v>
      </c>
      <c r="D171" s="6" t="n">
        <v>10</v>
      </c>
      <c r="E171" s="6" t="s">
        <v>700</v>
      </c>
      <c r="F171" s="6" t="s">
        <v>1998</v>
      </c>
      <c r="G171" s="6" t="s">
        <v>648</v>
      </c>
      <c r="H171" s="6" t="str">
        <f aca="false">IF(D171&lt;=35,"Yes","No")</f>
        <v>Yes</v>
      </c>
      <c r="I171" s="6"/>
    </row>
    <row r="172" customFormat="false" ht="15" hidden="false" customHeight="false" outlineLevel="0" collapsed="false">
      <c r="A172" s="6" t="s">
        <v>1194</v>
      </c>
      <c r="B172" s="6" t="s">
        <v>1853</v>
      </c>
      <c r="C172" s="6" t="n">
        <v>590</v>
      </c>
      <c r="D172" s="6" t="n">
        <v>15</v>
      </c>
      <c r="E172" s="6" t="s">
        <v>700</v>
      </c>
      <c r="F172" s="6" t="s">
        <v>1999</v>
      </c>
      <c r="G172" s="6" t="s">
        <v>648</v>
      </c>
      <c r="H172" s="6" t="str">
        <f aca="false">IF(D172&lt;=35,"Yes","No")</f>
        <v>Yes</v>
      </c>
      <c r="I172" s="6"/>
    </row>
    <row r="173" customFormat="false" ht="15" hidden="false" customHeight="false" outlineLevel="0" collapsed="false">
      <c r="A173" s="6" t="s">
        <v>1118</v>
      </c>
      <c r="B173" s="6" t="s">
        <v>1853</v>
      </c>
      <c r="C173" s="6" t="n">
        <v>590</v>
      </c>
      <c r="D173" s="6" t="n">
        <v>11</v>
      </c>
      <c r="E173" s="6" t="s">
        <v>700</v>
      </c>
      <c r="F173" s="6" t="s">
        <v>2000</v>
      </c>
      <c r="G173" s="6" t="s">
        <v>648</v>
      </c>
      <c r="H173" s="6" t="str">
        <f aca="false">IF(D173&lt;=35,"Yes","No")</f>
        <v>Yes</v>
      </c>
      <c r="I173" s="6"/>
    </row>
    <row r="174" customFormat="false" ht="15" hidden="false" customHeight="false" outlineLevel="0" collapsed="false">
      <c r="A174" s="6" t="s">
        <v>1122</v>
      </c>
      <c r="B174" s="6" t="s">
        <v>1853</v>
      </c>
      <c r="C174" s="6" t="n">
        <v>590</v>
      </c>
      <c r="D174" s="6" t="n">
        <v>11</v>
      </c>
      <c r="E174" s="6" t="s">
        <v>700</v>
      </c>
      <c r="F174" s="6" t="s">
        <v>2001</v>
      </c>
      <c r="G174" s="6" t="s">
        <v>648</v>
      </c>
      <c r="H174" s="6" t="str">
        <f aca="false">IF(D174&lt;=35,"Yes","No")</f>
        <v>Yes</v>
      </c>
      <c r="I174" s="6"/>
    </row>
    <row r="175" customFormat="false" ht="15" hidden="false" customHeight="false" outlineLevel="0" collapsed="false">
      <c r="A175" s="6" t="s">
        <v>2002</v>
      </c>
      <c r="B175" s="6" t="s">
        <v>1853</v>
      </c>
      <c r="C175" s="6" t="n">
        <v>590</v>
      </c>
      <c r="D175" s="6" t="n">
        <v>10</v>
      </c>
      <c r="E175" s="6" t="s">
        <v>700</v>
      </c>
      <c r="F175" s="6" t="s">
        <v>2003</v>
      </c>
      <c r="G175" s="6" t="s">
        <v>648</v>
      </c>
      <c r="H175" s="6" t="str">
        <f aca="false">IF(D175&lt;=35,"Yes","No")</f>
        <v>Yes</v>
      </c>
      <c r="I175" s="6"/>
    </row>
    <row r="176" customFormat="false" ht="15" hidden="false" customHeight="false" outlineLevel="0" collapsed="false">
      <c r="A176" s="6" t="s">
        <v>1175</v>
      </c>
      <c r="B176" s="6" t="s">
        <v>1853</v>
      </c>
      <c r="C176" s="6" t="n">
        <v>590</v>
      </c>
      <c r="D176" s="6" t="n">
        <v>13</v>
      </c>
      <c r="E176" s="6" t="s">
        <v>700</v>
      </c>
      <c r="F176" s="6" t="s">
        <v>1987</v>
      </c>
      <c r="G176" s="6" t="s">
        <v>648</v>
      </c>
      <c r="H176" s="6" t="str">
        <f aca="false">IF(D176&lt;=35,"Yes","No")</f>
        <v>Yes</v>
      </c>
      <c r="I176" s="6"/>
    </row>
    <row r="177" customFormat="false" ht="15" hidden="false" customHeight="false" outlineLevel="0" collapsed="false">
      <c r="A177" s="6" t="s">
        <v>2004</v>
      </c>
      <c r="B177" s="6" t="s">
        <v>1853</v>
      </c>
      <c r="C177" s="6" t="n">
        <v>590</v>
      </c>
      <c r="D177" s="6" t="n">
        <v>10</v>
      </c>
      <c r="E177" s="6" t="s">
        <v>700</v>
      </c>
      <c r="F177" s="6" t="s">
        <v>2005</v>
      </c>
      <c r="G177" s="6" t="s">
        <v>648</v>
      </c>
      <c r="H177" s="6" t="str">
        <f aca="false">IF(D177&lt;=35,"Yes","No")</f>
        <v>Yes</v>
      </c>
      <c r="I177" s="6"/>
    </row>
    <row r="178" customFormat="false" ht="15" hidden="false" customHeight="false" outlineLevel="0" collapsed="false">
      <c r="A178" s="6" t="s">
        <v>2006</v>
      </c>
      <c r="B178" s="6" t="s">
        <v>1853</v>
      </c>
      <c r="C178" s="6" t="n">
        <v>590</v>
      </c>
      <c r="D178" s="6" t="n">
        <v>23</v>
      </c>
      <c r="E178" s="6" t="s">
        <v>700</v>
      </c>
      <c r="F178" s="6" t="s">
        <v>2007</v>
      </c>
      <c r="G178" s="6" t="s">
        <v>648</v>
      </c>
      <c r="H178" s="6" t="str">
        <f aca="false">IF(D178&lt;=35,"Yes","No")</f>
        <v>Yes</v>
      </c>
      <c r="I178" s="6"/>
    </row>
    <row r="179" customFormat="false" ht="15" hidden="false" customHeight="false" outlineLevel="0" collapsed="false">
      <c r="A179" s="6" t="s">
        <v>2008</v>
      </c>
      <c r="B179" s="6" t="s">
        <v>1853</v>
      </c>
      <c r="C179" s="6" t="n">
        <v>590</v>
      </c>
      <c r="D179" s="6" t="n">
        <v>9</v>
      </c>
      <c r="E179" s="6" t="s">
        <v>2009</v>
      </c>
      <c r="F179" s="6" t="s">
        <v>2009</v>
      </c>
      <c r="G179" s="6" t="s">
        <v>2009</v>
      </c>
      <c r="H179" s="6" t="str">
        <f aca="false">IF(D179&lt;=35,"Yes","No")</f>
        <v>Yes</v>
      </c>
      <c r="I179" s="6"/>
    </row>
    <row r="180" customFormat="false" ht="15" hidden="false" customHeight="false" outlineLevel="0" collapsed="false">
      <c r="A180" s="6" t="s">
        <v>2010</v>
      </c>
      <c r="B180" s="6" t="s">
        <v>1853</v>
      </c>
      <c r="C180" s="6" t="n">
        <v>590</v>
      </c>
      <c r="D180" s="6" t="n">
        <v>8</v>
      </c>
      <c r="E180" s="6" t="s">
        <v>2009</v>
      </c>
      <c r="F180" s="6" t="s">
        <v>2009</v>
      </c>
      <c r="G180" s="6" t="s">
        <v>2009</v>
      </c>
      <c r="H180" s="6" t="str">
        <f aca="false">IF(D180&lt;=35,"Yes","No")</f>
        <v>Yes</v>
      </c>
      <c r="I180" s="6"/>
    </row>
    <row r="181" customFormat="false" ht="15" hidden="false" customHeight="false" outlineLevel="0" collapsed="false">
      <c r="A181" s="6" t="s">
        <v>2011</v>
      </c>
      <c r="B181" s="6" t="s">
        <v>1853</v>
      </c>
      <c r="C181" s="6" t="n">
        <v>590</v>
      </c>
      <c r="D181" s="6" t="n">
        <v>7</v>
      </c>
      <c r="E181" s="6" t="s">
        <v>2009</v>
      </c>
      <c r="F181" s="6" t="s">
        <v>2009</v>
      </c>
      <c r="G181" s="6" t="s">
        <v>2009</v>
      </c>
      <c r="H181" s="6" t="str">
        <f aca="false">IF(D181&lt;=35,"Yes","No")</f>
        <v>Yes</v>
      </c>
      <c r="I181" s="6"/>
    </row>
    <row r="182" customFormat="false" ht="15" hidden="false" customHeight="false" outlineLevel="0" collapsed="false">
      <c r="A182" s="6" t="s">
        <v>2012</v>
      </c>
      <c r="B182" s="6" t="s">
        <v>1853</v>
      </c>
      <c r="C182" s="6" t="n">
        <v>590</v>
      </c>
      <c r="D182" s="6" t="n">
        <v>12</v>
      </c>
      <c r="E182" s="6" t="s">
        <v>1042</v>
      </c>
      <c r="F182" s="6" t="s">
        <v>2013</v>
      </c>
      <c r="G182" s="6" t="s">
        <v>648</v>
      </c>
      <c r="H182" s="6" t="str">
        <f aca="false">IF(D182&lt;=35,"Yes","No")</f>
        <v>Yes</v>
      </c>
      <c r="I182" s="6"/>
    </row>
    <row r="183" customFormat="false" ht="15" hidden="false" customHeight="false" outlineLevel="0" collapsed="false">
      <c r="A183" s="6" t="s">
        <v>2014</v>
      </c>
      <c r="B183" s="6" t="s">
        <v>1853</v>
      </c>
      <c r="C183" s="6" t="n">
        <v>590</v>
      </c>
      <c r="D183" s="6" t="n">
        <v>20</v>
      </c>
      <c r="E183" s="6" t="s">
        <v>2009</v>
      </c>
      <c r="F183" s="6" t="s">
        <v>2009</v>
      </c>
      <c r="G183" s="6" t="s">
        <v>2009</v>
      </c>
      <c r="H183" s="6" t="str">
        <f aca="false">IF(D183&lt;=35,"Yes","No")</f>
        <v>Yes</v>
      </c>
      <c r="I183" s="6"/>
    </row>
    <row r="184" customFormat="false" ht="15" hidden="false" customHeight="false" outlineLevel="0" collapsed="false">
      <c r="A184" s="6" t="s">
        <v>2015</v>
      </c>
      <c r="B184" s="6" t="s">
        <v>1853</v>
      </c>
      <c r="C184" s="6" t="n">
        <v>590</v>
      </c>
      <c r="D184" s="6" t="n">
        <v>14</v>
      </c>
      <c r="E184" s="6" t="s">
        <v>784</v>
      </c>
      <c r="F184" s="6" t="s">
        <v>2016</v>
      </c>
      <c r="G184" s="6" t="s">
        <v>648</v>
      </c>
      <c r="H184" s="6" t="str">
        <f aca="false">IF(D184&lt;=35,"Yes","No")</f>
        <v>Yes</v>
      </c>
      <c r="I184" s="6"/>
    </row>
    <row r="185" customFormat="false" ht="15" hidden="false" customHeight="false" outlineLevel="0" collapsed="false">
      <c r="A185" s="6" t="s">
        <v>2017</v>
      </c>
      <c r="B185" s="6" t="s">
        <v>1853</v>
      </c>
      <c r="C185" s="6" t="n">
        <v>590</v>
      </c>
      <c r="D185" s="6" t="n">
        <v>16</v>
      </c>
      <c r="E185" s="6" t="s">
        <v>784</v>
      </c>
      <c r="F185" s="6" t="s">
        <v>2018</v>
      </c>
      <c r="G185" s="6" t="s">
        <v>648</v>
      </c>
      <c r="H185" s="6" t="str">
        <f aca="false">IF(D185&lt;=35,"Yes","No")</f>
        <v>Yes</v>
      </c>
      <c r="I185" s="6"/>
    </row>
    <row r="186" customFormat="false" ht="15" hidden="false" customHeight="false" outlineLevel="0" collapsed="false">
      <c r="A186" s="6" t="s">
        <v>1144</v>
      </c>
      <c r="B186" s="6" t="s">
        <v>1853</v>
      </c>
      <c r="C186" s="6" t="n">
        <v>590</v>
      </c>
      <c r="D186" s="6" t="n">
        <v>12</v>
      </c>
      <c r="E186" s="6" t="s">
        <v>1145</v>
      </c>
      <c r="F186" s="6" t="s">
        <v>2019</v>
      </c>
      <c r="G186" s="6" t="s">
        <v>648</v>
      </c>
      <c r="H186" s="6" t="str">
        <f aca="false">IF(D186&lt;=35,"Yes","No")</f>
        <v>Yes</v>
      </c>
      <c r="I186" s="6" t="s">
        <v>1867</v>
      </c>
    </row>
    <row r="187" customFormat="false" ht="15" hidden="false" customHeight="false" outlineLevel="0" collapsed="false">
      <c r="A187" s="6" t="s">
        <v>1178</v>
      </c>
      <c r="B187" s="6" t="s">
        <v>1853</v>
      </c>
      <c r="C187" s="6" t="n">
        <v>590</v>
      </c>
      <c r="D187" s="6" t="n">
        <v>13</v>
      </c>
      <c r="E187" s="6" t="s">
        <v>642</v>
      </c>
      <c r="F187" s="6" t="s">
        <v>2013</v>
      </c>
      <c r="G187" s="6" t="s">
        <v>627</v>
      </c>
      <c r="H187" s="6" t="str">
        <f aca="false">IF(D187&lt;=35,"Yes","No")</f>
        <v>Yes</v>
      </c>
      <c r="I187" s="6"/>
    </row>
    <row r="188" customFormat="false" ht="15" hidden="false" customHeight="false" outlineLevel="0" collapsed="false">
      <c r="A188" s="6" t="s">
        <v>958</v>
      </c>
      <c r="B188" s="6" t="s">
        <v>1853</v>
      </c>
      <c r="C188" s="6" t="n">
        <v>590</v>
      </c>
      <c r="D188" s="6" t="n">
        <v>6</v>
      </c>
      <c r="E188" s="6" t="s">
        <v>642</v>
      </c>
      <c r="F188" s="6" t="s">
        <v>2020</v>
      </c>
      <c r="G188" s="6" t="s">
        <v>627</v>
      </c>
      <c r="H188" s="6" t="str">
        <f aca="false">IF(D188&lt;=35,"Yes","No")</f>
        <v>Yes</v>
      </c>
      <c r="I188" s="6"/>
    </row>
    <row r="189" customFormat="false" ht="15" hidden="false" customHeight="false" outlineLevel="0" collapsed="false">
      <c r="A189" s="6" t="s">
        <v>962</v>
      </c>
      <c r="B189" s="6" t="s">
        <v>1853</v>
      </c>
      <c r="C189" s="6" t="n">
        <v>590</v>
      </c>
      <c r="D189" s="6" t="n">
        <v>6</v>
      </c>
      <c r="E189" s="6" t="s">
        <v>642</v>
      </c>
      <c r="F189" s="6" t="s">
        <v>2021</v>
      </c>
      <c r="G189" s="6" t="s">
        <v>627</v>
      </c>
      <c r="H189" s="6" t="str">
        <f aca="false">IF(D189&lt;=35,"Yes","No")</f>
        <v>Yes</v>
      </c>
      <c r="I189" s="6"/>
    </row>
    <row r="190" customFormat="false" ht="15" hidden="false" customHeight="false" outlineLevel="0" collapsed="false">
      <c r="A190" s="6" t="s">
        <v>1011</v>
      </c>
      <c r="B190" s="6" t="s">
        <v>1853</v>
      </c>
      <c r="C190" s="6" t="n">
        <v>590</v>
      </c>
      <c r="D190" s="6" t="n">
        <v>8</v>
      </c>
      <c r="E190" s="6" t="s">
        <v>642</v>
      </c>
      <c r="F190" s="6" t="s">
        <v>2022</v>
      </c>
      <c r="G190" s="6" t="s">
        <v>627</v>
      </c>
      <c r="H190" s="6" t="str">
        <f aca="false">IF(D190&lt;=35,"Yes","No")</f>
        <v>Yes</v>
      </c>
      <c r="I190" s="6"/>
    </row>
    <row r="191" customFormat="false" ht="15" hidden="false" customHeight="false" outlineLevel="0" collapsed="false">
      <c r="A191" s="6" t="s">
        <v>1149</v>
      </c>
      <c r="B191" s="6" t="s">
        <v>1853</v>
      </c>
      <c r="C191" s="6" t="n">
        <v>590</v>
      </c>
      <c r="D191" s="6" t="n">
        <v>12</v>
      </c>
      <c r="E191" s="6" t="s">
        <v>642</v>
      </c>
      <c r="F191" s="6" t="s">
        <v>2023</v>
      </c>
      <c r="G191" s="6" t="s">
        <v>627</v>
      </c>
      <c r="H191" s="6" t="str">
        <f aca="false">IF(D191&lt;=35,"Yes","No")</f>
        <v>Yes</v>
      </c>
      <c r="I191" s="6"/>
    </row>
    <row r="192" customFormat="false" ht="15" hidden="false" customHeight="false" outlineLevel="0" collapsed="false">
      <c r="A192" s="6" t="s">
        <v>2024</v>
      </c>
      <c r="B192" s="6" t="s">
        <v>1853</v>
      </c>
      <c r="C192" s="6" t="n">
        <v>590</v>
      </c>
      <c r="D192" s="6" t="n">
        <v>6</v>
      </c>
      <c r="E192" s="6" t="s">
        <v>642</v>
      </c>
      <c r="F192" s="6" t="s">
        <v>2025</v>
      </c>
      <c r="G192" s="6" t="s">
        <v>627</v>
      </c>
      <c r="H192" s="6" t="str">
        <f aca="false">IF(D192&lt;=35,"Yes","No")</f>
        <v>Yes</v>
      </c>
      <c r="I192" s="6"/>
    </row>
    <row r="193" customFormat="false" ht="15" hidden="false" customHeight="false" outlineLevel="0" collapsed="false">
      <c r="A193" s="6" t="s">
        <v>2026</v>
      </c>
      <c r="B193" s="6" t="s">
        <v>1853</v>
      </c>
      <c r="C193" s="6" t="n">
        <v>590</v>
      </c>
      <c r="D193" s="6" t="n">
        <v>6</v>
      </c>
      <c r="E193" s="6" t="s">
        <v>642</v>
      </c>
      <c r="F193" s="6" t="s">
        <v>2027</v>
      </c>
      <c r="G193" s="6" t="s">
        <v>627</v>
      </c>
      <c r="H193" s="6" t="str">
        <f aca="false">IF(D193&lt;=35,"Yes","No")</f>
        <v>Yes</v>
      </c>
      <c r="I193" s="6"/>
    </row>
    <row r="194" customFormat="false" ht="15" hidden="false" customHeight="false" outlineLevel="0" collapsed="false">
      <c r="A194" s="6" t="s">
        <v>114</v>
      </c>
      <c r="B194" s="6" t="s">
        <v>1853</v>
      </c>
      <c r="C194" s="6" t="n">
        <v>590</v>
      </c>
      <c r="D194" s="6" t="n">
        <v>6</v>
      </c>
      <c r="E194" s="6" t="s">
        <v>642</v>
      </c>
      <c r="F194" s="6" t="s">
        <v>2028</v>
      </c>
      <c r="G194" s="6" t="s">
        <v>627</v>
      </c>
      <c r="H194" s="6" t="str">
        <f aca="false">IF(D194&lt;=35,"Yes","No")</f>
        <v>Yes</v>
      </c>
      <c r="I194" s="6"/>
    </row>
    <row r="195" customFormat="false" ht="15" hidden="false" customHeight="false" outlineLevel="0" collapsed="false">
      <c r="A195" s="6" t="s">
        <v>659</v>
      </c>
      <c r="B195" s="6" t="s">
        <v>1853</v>
      </c>
      <c r="C195" s="6" t="n">
        <v>590</v>
      </c>
      <c r="D195" s="6" t="n">
        <v>6</v>
      </c>
      <c r="E195" s="6" t="s">
        <v>642</v>
      </c>
      <c r="F195" s="6" t="s">
        <v>1884</v>
      </c>
      <c r="G195" s="6" t="s">
        <v>627</v>
      </c>
      <c r="H195" s="6" t="str">
        <f aca="false">IF(D195&lt;=35,"Yes","No")</f>
        <v>Yes</v>
      </c>
      <c r="I195" s="6"/>
    </row>
    <row r="196" customFormat="false" ht="15" hidden="false" customHeight="false" outlineLevel="0" collapsed="false">
      <c r="A196" s="6" t="s">
        <v>643</v>
      </c>
      <c r="B196" s="6" t="s">
        <v>1853</v>
      </c>
      <c r="C196" s="6" t="n">
        <v>590</v>
      </c>
      <c r="D196" s="6" t="n">
        <v>7</v>
      </c>
      <c r="E196" s="6" t="s">
        <v>642</v>
      </c>
      <c r="F196" s="6" t="s">
        <v>1946</v>
      </c>
      <c r="G196" s="6" t="s">
        <v>627</v>
      </c>
      <c r="H196" s="6" t="str">
        <f aca="false">IF(D196&lt;=35,"Yes","No")</f>
        <v>Yes</v>
      </c>
      <c r="I196" s="6"/>
    </row>
    <row r="197" customFormat="false" ht="15" hidden="false" customHeight="false" outlineLevel="0" collapsed="false">
      <c r="A197" s="6" t="s">
        <v>2029</v>
      </c>
      <c r="B197" s="6" t="s">
        <v>1853</v>
      </c>
      <c r="C197" s="6" t="n">
        <v>590</v>
      </c>
      <c r="D197" s="6" t="n">
        <v>7</v>
      </c>
      <c r="E197" s="6" t="s">
        <v>642</v>
      </c>
      <c r="F197" s="6" t="s">
        <v>2030</v>
      </c>
      <c r="G197" s="6" t="s">
        <v>627</v>
      </c>
      <c r="H197" s="6" t="str">
        <f aca="false">IF(D197&lt;=35,"Yes","No")</f>
        <v>Yes</v>
      </c>
      <c r="I197" s="6"/>
    </row>
    <row r="198" customFormat="false" ht="15" hidden="false" customHeight="false" outlineLevel="0" collapsed="false">
      <c r="A198" s="6" t="s">
        <v>2031</v>
      </c>
      <c r="B198" s="6" t="s">
        <v>1853</v>
      </c>
      <c r="C198" s="6" t="n">
        <v>590</v>
      </c>
      <c r="D198" s="6" t="n">
        <v>9</v>
      </c>
      <c r="E198" s="6" t="s">
        <v>2009</v>
      </c>
      <c r="F198" s="6" t="s">
        <v>2009</v>
      </c>
      <c r="G198" s="6" t="s">
        <v>2009</v>
      </c>
      <c r="H198" s="6" t="str">
        <f aca="false">IF(D198&lt;=35,"Yes","No")</f>
        <v>Yes</v>
      </c>
      <c r="I198" s="6"/>
    </row>
    <row r="199" customFormat="false" ht="15" hidden="false" customHeight="false" outlineLevel="0" collapsed="false">
      <c r="A199" s="6" t="s">
        <v>773</v>
      </c>
      <c r="B199" s="6" t="s">
        <v>1853</v>
      </c>
      <c r="C199" s="6" t="n">
        <v>590</v>
      </c>
      <c r="D199" s="6" t="n">
        <v>11</v>
      </c>
      <c r="E199" s="6" t="s">
        <v>649</v>
      </c>
      <c r="F199" s="6" t="s">
        <v>2032</v>
      </c>
      <c r="G199" s="6" t="s">
        <v>648</v>
      </c>
      <c r="H199" s="6" t="str">
        <f aca="false">IF(D199&lt;=35,"Yes","No")</f>
        <v>Yes</v>
      </c>
      <c r="I199" s="6"/>
    </row>
    <row r="200" customFormat="false" ht="15" hidden="false" customHeight="false" outlineLevel="0" collapsed="false">
      <c r="A200" s="6" t="s">
        <v>1326</v>
      </c>
      <c r="B200" s="6" t="s">
        <v>1853</v>
      </c>
      <c r="C200" s="6" t="n">
        <v>590</v>
      </c>
      <c r="D200" s="6" t="n">
        <v>24</v>
      </c>
      <c r="E200" s="6" t="s">
        <v>649</v>
      </c>
      <c r="F200" s="6" t="s">
        <v>2033</v>
      </c>
      <c r="G200" s="6" t="s">
        <v>648</v>
      </c>
      <c r="H200" s="6" t="str">
        <f aca="false">IF(D200&lt;=35,"Yes","No")</f>
        <v>Yes</v>
      </c>
      <c r="I200" s="6" t="s">
        <v>1867</v>
      </c>
    </row>
    <row r="201" customFormat="false" ht="15" hidden="false" customHeight="false" outlineLevel="0" collapsed="false">
      <c r="A201" s="6" t="s">
        <v>872</v>
      </c>
      <c r="B201" s="6" t="s">
        <v>1853</v>
      </c>
      <c r="C201" s="6" t="n">
        <v>590</v>
      </c>
      <c r="D201" s="6" t="n">
        <v>12</v>
      </c>
      <c r="E201" s="6" t="s">
        <v>2034</v>
      </c>
      <c r="F201" s="6" t="s">
        <v>1893</v>
      </c>
      <c r="G201" s="6" t="s">
        <v>648</v>
      </c>
      <c r="H201" s="6" t="str">
        <f aca="false">IF(D201&lt;=35,"Yes","No")</f>
        <v>Yes</v>
      </c>
      <c r="I201" s="6" t="s">
        <v>1867</v>
      </c>
    </row>
    <row r="202" customFormat="false" ht="15" hidden="false" customHeight="false" outlineLevel="0" collapsed="false">
      <c r="A202" s="6" t="s">
        <v>1064</v>
      </c>
      <c r="B202" s="6" t="s">
        <v>1853</v>
      </c>
      <c r="C202" s="6" t="n">
        <v>590</v>
      </c>
      <c r="D202" s="6" t="n">
        <v>13</v>
      </c>
      <c r="E202" s="6" t="s">
        <v>649</v>
      </c>
      <c r="F202" s="6" t="s">
        <v>2035</v>
      </c>
      <c r="G202" s="6" t="s">
        <v>648</v>
      </c>
      <c r="H202" s="6" t="str">
        <f aca="false">IF(D202&lt;=35,"Yes","No")</f>
        <v>Yes</v>
      </c>
      <c r="I202" s="6" t="s">
        <v>1867</v>
      </c>
    </row>
    <row r="203" customFormat="false" ht="15" hidden="false" customHeight="false" outlineLevel="0" collapsed="false">
      <c r="A203" s="6" t="s">
        <v>773</v>
      </c>
      <c r="B203" s="6" t="s">
        <v>198</v>
      </c>
      <c r="C203" s="6" t="n">
        <v>590</v>
      </c>
      <c r="D203" s="6" t="n">
        <v>12</v>
      </c>
      <c r="E203" s="6" t="s">
        <v>649</v>
      </c>
      <c r="F203" s="6" t="s">
        <v>2032</v>
      </c>
      <c r="G203" s="6" t="s">
        <v>648</v>
      </c>
      <c r="H203" s="6" t="str">
        <f aca="false">IF(D203&lt;=35,"Yes","No")</f>
        <v>Yes</v>
      </c>
      <c r="I203" s="6"/>
    </row>
    <row r="204" customFormat="false" ht="15" hidden="false" customHeight="false" outlineLevel="0" collapsed="false">
      <c r="A204" s="6" t="s">
        <v>685</v>
      </c>
      <c r="B204" s="6" t="s">
        <v>198</v>
      </c>
      <c r="C204" s="6" t="n">
        <v>590</v>
      </c>
      <c r="D204" s="6" t="n">
        <v>5</v>
      </c>
      <c r="E204" s="6" t="s">
        <v>686</v>
      </c>
      <c r="F204" s="6" t="s">
        <v>1897</v>
      </c>
      <c r="G204" s="6" t="s">
        <v>648</v>
      </c>
      <c r="H204" s="6" t="str">
        <f aca="false">IF(D204&lt;=35,"Yes","No")</f>
        <v>Yes</v>
      </c>
      <c r="I204" s="6" t="s">
        <v>1867</v>
      </c>
    </row>
    <row r="205" customFormat="false" ht="15" hidden="false" customHeight="false" outlineLevel="0" collapsed="false">
      <c r="A205" s="6" t="s">
        <v>1015</v>
      </c>
      <c r="B205" s="6" t="s">
        <v>198</v>
      </c>
      <c r="C205" s="6" t="n">
        <v>590</v>
      </c>
      <c r="D205" s="6" t="n">
        <v>8</v>
      </c>
      <c r="E205" s="6" t="s">
        <v>700</v>
      </c>
      <c r="F205" s="6" t="s">
        <v>2036</v>
      </c>
      <c r="G205" s="6" t="s">
        <v>648</v>
      </c>
      <c r="H205" s="6" t="str">
        <f aca="false">IF(D205&lt;=35,"Yes","No")</f>
        <v>Yes</v>
      </c>
      <c r="I205" s="6" t="s">
        <v>1867</v>
      </c>
    </row>
    <row r="206" customFormat="false" ht="15" hidden="false" customHeight="false" outlineLevel="0" collapsed="false">
      <c r="A206" s="6" t="s">
        <v>764</v>
      </c>
      <c r="B206" s="6" t="s">
        <v>1853</v>
      </c>
      <c r="C206" s="6" t="n">
        <v>590</v>
      </c>
      <c r="D206" s="6" t="n">
        <v>14</v>
      </c>
      <c r="E206" s="6" t="s">
        <v>649</v>
      </c>
      <c r="F206" s="6" t="s">
        <v>1887</v>
      </c>
      <c r="G206" s="6" t="s">
        <v>648</v>
      </c>
      <c r="H206" s="6" t="str">
        <f aca="false">IF(D206&lt;=35,"Yes","No")</f>
        <v>Yes</v>
      </c>
      <c r="I206" s="6"/>
    </row>
    <row r="207" customFormat="false" ht="15" hidden="false" customHeight="false" outlineLevel="0" collapsed="false">
      <c r="A207" s="6" t="s">
        <v>795</v>
      </c>
      <c r="B207" s="6" t="s">
        <v>1853</v>
      </c>
      <c r="C207" s="6" t="n">
        <v>590</v>
      </c>
      <c r="D207" s="6" t="n">
        <v>6</v>
      </c>
      <c r="E207" s="6" t="s">
        <v>796</v>
      </c>
      <c r="F207" s="6" t="s">
        <v>1876</v>
      </c>
      <c r="G207" s="6" t="s">
        <v>648</v>
      </c>
      <c r="H207" s="6" t="str">
        <f aca="false">IF(D207&lt;=35,"Yes","No")</f>
        <v>Yes</v>
      </c>
      <c r="I207" s="6"/>
    </row>
    <row r="208" customFormat="false" ht="15" hidden="false" customHeight="false" outlineLevel="0" collapsed="false">
      <c r="A208" s="6" t="s">
        <v>769</v>
      </c>
      <c r="B208" s="6" t="s">
        <v>1853</v>
      </c>
      <c r="C208" s="6" t="n">
        <v>590</v>
      </c>
      <c r="D208" s="6" t="n">
        <v>9</v>
      </c>
      <c r="E208" s="6" t="s">
        <v>642</v>
      </c>
      <c r="F208" s="6" t="s">
        <v>2037</v>
      </c>
      <c r="G208" s="6" t="s">
        <v>627</v>
      </c>
      <c r="H208" s="6" t="str">
        <f aca="false">IF(D208&lt;=35,"Yes","No")</f>
        <v>Yes</v>
      </c>
      <c r="I208" s="6"/>
    </row>
    <row r="209" customFormat="false" ht="15" hidden="false" customHeight="false" outlineLevel="0" collapsed="false">
      <c r="A209" s="6" t="s">
        <v>1215</v>
      </c>
      <c r="B209" s="6" t="s">
        <v>1853</v>
      </c>
      <c r="C209" s="6" t="n">
        <v>590</v>
      </c>
      <c r="D209" s="6" t="n">
        <v>30</v>
      </c>
      <c r="E209" s="6" t="s">
        <v>1216</v>
      </c>
      <c r="F209" s="6" t="s">
        <v>2038</v>
      </c>
      <c r="G209" s="6" t="s">
        <v>627</v>
      </c>
      <c r="H209" s="6" t="str">
        <f aca="false">IF(D209&lt;=35,"Yes","No")</f>
        <v>Yes</v>
      </c>
      <c r="I209" s="6"/>
    </row>
    <row r="210" customFormat="false" ht="15" hidden="false" customHeight="false" outlineLevel="0" collapsed="false">
      <c r="A210" s="6" t="s">
        <v>1055</v>
      </c>
      <c r="B210" s="6" t="s">
        <v>1853</v>
      </c>
      <c r="C210" s="6" t="n">
        <v>590</v>
      </c>
      <c r="D210" s="6" t="n">
        <v>9</v>
      </c>
      <c r="E210" s="6" t="s">
        <v>1056</v>
      </c>
      <c r="F210" s="6" t="s">
        <v>2039</v>
      </c>
      <c r="G210" s="6" t="s">
        <v>627</v>
      </c>
      <c r="H210" s="6" t="str">
        <f aca="false">IF(D210&lt;=35,"Yes","No")</f>
        <v>Yes</v>
      </c>
      <c r="I210" s="6"/>
    </row>
    <row r="211" customFormat="false" ht="15" hidden="false" customHeight="false" outlineLevel="0" collapsed="false">
      <c r="A211" s="6" t="s">
        <v>891</v>
      </c>
      <c r="B211" s="6" t="s">
        <v>198</v>
      </c>
      <c r="C211" s="6" t="n">
        <v>590</v>
      </c>
      <c r="D211" s="6" t="n">
        <v>5</v>
      </c>
      <c r="E211" s="6" t="s">
        <v>642</v>
      </c>
      <c r="F211" s="6" t="s">
        <v>2040</v>
      </c>
      <c r="G211" s="6" t="s">
        <v>627</v>
      </c>
      <c r="H211" s="6" t="str">
        <f aca="false">IF(D211&lt;=35,"Yes","No")</f>
        <v>Yes</v>
      </c>
      <c r="I211" s="6"/>
    </row>
    <row r="212" customFormat="false" ht="15" hidden="false" customHeight="false" outlineLevel="0" collapsed="false">
      <c r="A212" s="6" t="s">
        <v>916</v>
      </c>
      <c r="B212" s="6" t="s">
        <v>198</v>
      </c>
      <c r="C212" s="6" t="n">
        <v>590</v>
      </c>
      <c r="D212" s="6" t="n">
        <v>5</v>
      </c>
      <c r="E212" s="6" t="s">
        <v>642</v>
      </c>
      <c r="F212" s="6" t="s">
        <v>2041</v>
      </c>
      <c r="G212" s="6" t="s">
        <v>627</v>
      </c>
      <c r="H212" s="6" t="str">
        <f aca="false">IF(D212&lt;=35,"Yes","No")</f>
        <v>Yes</v>
      </c>
      <c r="I212" s="6"/>
    </row>
    <row r="213" customFormat="false" ht="15" hidden="false" customHeight="false" outlineLevel="0" collapsed="false">
      <c r="A213" s="6" t="s">
        <v>1198</v>
      </c>
      <c r="B213" s="6" t="s">
        <v>198</v>
      </c>
      <c r="C213" s="6" t="n">
        <v>590</v>
      </c>
      <c r="D213" s="6" t="n">
        <v>15</v>
      </c>
      <c r="E213" s="6" t="s">
        <v>1199</v>
      </c>
      <c r="F213" s="6" t="s">
        <v>2042</v>
      </c>
      <c r="G213" s="6" t="s">
        <v>627</v>
      </c>
      <c r="H213" s="6" t="str">
        <f aca="false">IF(D213&lt;=35,"Yes","No")</f>
        <v>Yes</v>
      </c>
      <c r="I213" s="6"/>
    </row>
    <row r="214" customFormat="false" ht="15" hidden="false" customHeight="false" outlineLevel="0" collapsed="false">
      <c r="A214" s="6" t="s">
        <v>924</v>
      </c>
      <c r="B214" s="6" t="s">
        <v>1853</v>
      </c>
      <c r="C214" s="6" t="n">
        <v>540</v>
      </c>
      <c r="D214" s="6" t="n">
        <v>21</v>
      </c>
      <c r="E214" s="6" t="s">
        <v>700</v>
      </c>
      <c r="F214" s="6" t="s">
        <v>1918</v>
      </c>
      <c r="G214" s="6" t="s">
        <v>648</v>
      </c>
      <c r="H214" s="6" t="str">
        <f aca="false">IF(D214&lt;=35,"Yes","No")</f>
        <v>Yes</v>
      </c>
      <c r="I214" s="6"/>
    </row>
    <row r="215" customFormat="false" ht="15" hidden="false" customHeight="false" outlineLevel="0" collapsed="false">
      <c r="A215" s="6" t="s">
        <v>1621</v>
      </c>
      <c r="B215" s="6" t="s">
        <v>198</v>
      </c>
      <c r="C215" s="6" t="n">
        <v>540</v>
      </c>
      <c r="D215" s="6" t="n">
        <v>6</v>
      </c>
      <c r="E215" s="6" t="s">
        <v>1622</v>
      </c>
      <c r="F215" s="6" t="s">
        <v>1866</v>
      </c>
      <c r="G215" s="6" t="s">
        <v>627</v>
      </c>
      <c r="H215" s="6" t="str">
        <f aca="false">IF(D215&lt;=35,"Yes","No")</f>
        <v>Yes</v>
      </c>
      <c r="I215" s="6"/>
    </row>
    <row r="216" customFormat="false" ht="15" hidden="false" customHeight="false" outlineLevel="0" collapsed="false">
      <c r="A216" s="6" t="s">
        <v>1188</v>
      </c>
      <c r="B216" s="6" t="s">
        <v>198</v>
      </c>
      <c r="C216" s="6" t="n">
        <v>540</v>
      </c>
      <c r="D216" s="6" t="n">
        <v>12</v>
      </c>
      <c r="E216" s="6" t="s">
        <v>738</v>
      </c>
      <c r="F216" s="6" t="s">
        <v>2042</v>
      </c>
      <c r="G216" s="6" t="s">
        <v>627</v>
      </c>
      <c r="H216" s="6" t="str">
        <f aca="false">IF(D216&lt;=35,"Yes","No")</f>
        <v>Yes</v>
      </c>
      <c r="I216" s="6"/>
    </row>
    <row r="217" customFormat="false" ht="15" hidden="false" customHeight="false" outlineLevel="0" collapsed="false">
      <c r="A217" s="6" t="s">
        <v>1060</v>
      </c>
      <c r="B217" s="6" t="s">
        <v>1853</v>
      </c>
      <c r="C217" s="6" t="n">
        <v>500</v>
      </c>
      <c r="D217" s="6" t="n">
        <v>19</v>
      </c>
      <c r="E217" s="6" t="s">
        <v>700</v>
      </c>
      <c r="F217" s="6" t="s">
        <v>1889</v>
      </c>
      <c r="G217" s="6" t="s">
        <v>648</v>
      </c>
      <c r="H217" s="6" t="str">
        <f aca="false">IF(D217&lt;=35,"Yes","No")</f>
        <v>Yes</v>
      </c>
      <c r="I217" s="6" t="s">
        <v>1867</v>
      </c>
    </row>
    <row r="218" customFormat="false" ht="15" hidden="false" customHeight="false" outlineLevel="0" collapsed="false">
      <c r="A218" s="6" t="s">
        <v>671</v>
      </c>
      <c r="B218" s="6" t="s">
        <v>198</v>
      </c>
      <c r="C218" s="6" t="n">
        <v>500</v>
      </c>
      <c r="D218" s="6" t="n">
        <v>9</v>
      </c>
      <c r="E218" s="6" t="s">
        <v>642</v>
      </c>
      <c r="F218" s="6" t="s">
        <v>1891</v>
      </c>
      <c r="G218" s="6" t="s">
        <v>627</v>
      </c>
      <c r="H218" s="6" t="str">
        <f aca="false">IF(D218&lt;=35,"Yes","No")</f>
        <v>Yes</v>
      </c>
      <c r="I218" s="6"/>
    </row>
    <row r="219" customFormat="false" ht="15" hidden="false" customHeight="false" outlineLevel="0" collapsed="false">
      <c r="A219" s="6" t="s">
        <v>1083</v>
      </c>
      <c r="B219" s="6" t="s">
        <v>1853</v>
      </c>
      <c r="C219" s="6" t="n">
        <v>500</v>
      </c>
      <c r="D219" s="6" t="n">
        <v>7</v>
      </c>
      <c r="E219" s="6" t="s">
        <v>2043</v>
      </c>
      <c r="F219" s="6" t="s">
        <v>1860</v>
      </c>
      <c r="G219" s="6" t="s">
        <v>648</v>
      </c>
      <c r="H219" s="6" t="str">
        <f aca="false">IF(D219&lt;=35,"Yes","No")</f>
        <v>Yes</v>
      </c>
      <c r="I219" s="6"/>
    </row>
    <row r="220" customFormat="false" ht="15" hidden="false" customHeight="false" outlineLevel="0" collapsed="false">
      <c r="A220" s="6" t="s">
        <v>783</v>
      </c>
      <c r="B220" s="6" t="s">
        <v>1853</v>
      </c>
      <c r="C220" s="6" t="n">
        <v>480</v>
      </c>
      <c r="D220" s="6" t="n">
        <v>5</v>
      </c>
      <c r="E220" s="6" t="s">
        <v>784</v>
      </c>
      <c r="F220" s="6" t="s">
        <v>1881</v>
      </c>
      <c r="G220" s="6" t="s">
        <v>648</v>
      </c>
      <c r="H220" s="6" t="str">
        <f aca="false">IF(D220&lt;=35,"Yes","No")</f>
        <v>Yes</v>
      </c>
      <c r="I220" s="6"/>
    </row>
    <row r="221" customFormat="false" ht="15" hidden="false" customHeight="false" outlineLevel="0" collapsed="false">
      <c r="A221" s="6" t="s">
        <v>2044</v>
      </c>
      <c r="B221" s="6" t="s">
        <v>1853</v>
      </c>
      <c r="C221" s="6" t="n">
        <v>480</v>
      </c>
      <c r="D221" s="6" t="n">
        <v>13</v>
      </c>
      <c r="E221" s="6" t="s">
        <v>649</v>
      </c>
      <c r="F221" s="6" t="s">
        <v>1895</v>
      </c>
      <c r="G221" s="6" t="s">
        <v>648</v>
      </c>
      <c r="H221" s="6" t="str">
        <f aca="false">IF(D221&lt;=35,"Yes","No")</f>
        <v>Yes</v>
      </c>
      <c r="I221" s="6"/>
    </row>
    <row r="222" customFormat="false" ht="15" hidden="false" customHeight="false" outlineLevel="0" collapsed="false">
      <c r="A222" s="6" t="s">
        <v>897</v>
      </c>
      <c r="B222" s="6" t="s">
        <v>1853</v>
      </c>
      <c r="C222" s="6" t="n">
        <v>480</v>
      </c>
      <c r="D222" s="6" t="n">
        <v>10</v>
      </c>
      <c r="E222" s="6" t="s">
        <v>700</v>
      </c>
      <c r="F222" s="6" t="s">
        <v>1876</v>
      </c>
      <c r="G222" s="6" t="s">
        <v>648</v>
      </c>
      <c r="H222" s="6" t="str">
        <f aca="false">IF(D222&lt;=35,"Yes","No")</f>
        <v>Yes</v>
      </c>
      <c r="I222" s="6"/>
    </row>
    <row r="223" customFormat="false" ht="15" hidden="false" customHeight="false" outlineLevel="0" collapsed="false">
      <c r="A223" s="6" t="s">
        <v>691</v>
      </c>
      <c r="B223" s="6" t="s">
        <v>1853</v>
      </c>
      <c r="C223" s="6" t="n">
        <v>480</v>
      </c>
      <c r="D223" s="6" t="n">
        <v>6</v>
      </c>
      <c r="E223" s="6" t="s">
        <v>692</v>
      </c>
      <c r="F223" s="6" t="s">
        <v>1911</v>
      </c>
      <c r="G223" s="6" t="s">
        <v>648</v>
      </c>
      <c r="H223" s="6" t="str">
        <f aca="false">IF(D223&lt;=35,"Yes","No")</f>
        <v>Yes</v>
      </c>
      <c r="I223" s="6"/>
    </row>
    <row r="224" customFormat="false" ht="15" hidden="false" customHeight="false" outlineLevel="0" collapsed="false">
      <c r="A224" s="6" t="s">
        <v>1185</v>
      </c>
      <c r="B224" s="6" t="s">
        <v>1853</v>
      </c>
      <c r="C224" s="6" t="n">
        <v>480</v>
      </c>
      <c r="D224" s="6" t="n">
        <v>9</v>
      </c>
      <c r="E224" s="6" t="s">
        <v>850</v>
      </c>
      <c r="F224" s="6" t="s">
        <v>1994</v>
      </c>
      <c r="G224" s="6" t="s">
        <v>648</v>
      </c>
      <c r="H224" s="6" t="str">
        <f aca="false">IF(D224&lt;=35,"Yes","No")</f>
        <v>Yes</v>
      </c>
      <c r="I224" s="6"/>
    </row>
    <row r="225" customFormat="false" ht="15" hidden="false" customHeight="false" outlineLevel="0" collapsed="false">
      <c r="A225" s="6" t="s">
        <v>941</v>
      </c>
      <c r="B225" s="6" t="s">
        <v>1853</v>
      </c>
      <c r="C225" s="6" t="n">
        <v>480</v>
      </c>
      <c r="D225" s="6" t="n">
        <v>5</v>
      </c>
      <c r="E225" s="6" t="s">
        <v>700</v>
      </c>
      <c r="F225" s="6" t="s">
        <v>1897</v>
      </c>
      <c r="G225" s="6" t="s">
        <v>648</v>
      </c>
      <c r="H225" s="6" t="str">
        <f aca="false">IF(D225&lt;=35,"Yes","No")</f>
        <v>Yes</v>
      </c>
      <c r="I225" s="6"/>
    </row>
    <row r="226" customFormat="false" ht="15" hidden="false" customHeight="false" outlineLevel="0" collapsed="false">
      <c r="A226" s="6" t="s">
        <v>1035</v>
      </c>
      <c r="B226" s="6" t="s">
        <v>1853</v>
      </c>
      <c r="C226" s="6" t="n">
        <v>480</v>
      </c>
      <c r="D226" s="6" t="n">
        <v>5</v>
      </c>
      <c r="E226" s="6" t="s">
        <v>700</v>
      </c>
      <c r="F226" s="6" t="s">
        <v>1907</v>
      </c>
      <c r="G226" s="6" t="s">
        <v>648</v>
      </c>
      <c r="H226" s="6" t="str">
        <f aca="false">IF(D226&lt;=35,"Yes","No")</f>
        <v>Yes</v>
      </c>
      <c r="I226" s="6"/>
    </row>
    <row r="227" customFormat="false" ht="15" hidden="false" customHeight="false" outlineLevel="0" collapsed="false">
      <c r="A227" s="6" t="s">
        <v>792</v>
      </c>
      <c r="B227" s="6" t="s">
        <v>1853</v>
      </c>
      <c r="C227" s="6" t="n">
        <v>480</v>
      </c>
      <c r="D227" s="6" t="n">
        <v>6</v>
      </c>
      <c r="E227" s="6" t="s">
        <v>700</v>
      </c>
      <c r="F227" s="6" t="s">
        <v>1887</v>
      </c>
      <c r="G227" s="6" t="s">
        <v>648</v>
      </c>
      <c r="H227" s="6" t="str">
        <f aca="false">IF(D227&lt;=35,"Yes","No")</f>
        <v>Yes</v>
      </c>
      <c r="I227" s="6"/>
    </row>
    <row r="228" customFormat="false" ht="15" hidden="false" customHeight="false" outlineLevel="0" collapsed="false">
      <c r="A228" s="6" t="s">
        <v>989</v>
      </c>
      <c r="B228" s="6" t="s">
        <v>1853</v>
      </c>
      <c r="C228" s="6" t="n">
        <v>480</v>
      </c>
      <c r="D228" s="6" t="n">
        <v>7</v>
      </c>
      <c r="E228" s="6" t="s">
        <v>700</v>
      </c>
      <c r="F228" s="6" t="s">
        <v>1946</v>
      </c>
      <c r="G228" s="6" t="s">
        <v>648</v>
      </c>
      <c r="H228" s="6" t="str">
        <f aca="false">IF(D228&lt;=35,"Yes","No")</f>
        <v>Yes</v>
      </c>
      <c r="I228" s="6"/>
    </row>
    <row r="229" customFormat="false" ht="15" hidden="false" customHeight="false" outlineLevel="0" collapsed="false">
      <c r="A229" s="6" t="s">
        <v>1633</v>
      </c>
      <c r="B229" s="6" t="s">
        <v>198</v>
      </c>
      <c r="C229" s="6" t="n">
        <v>480</v>
      </c>
      <c r="D229" s="6" t="n">
        <v>26</v>
      </c>
      <c r="E229" s="6" t="s">
        <v>649</v>
      </c>
      <c r="F229" s="6" t="s">
        <v>1866</v>
      </c>
      <c r="G229" s="6" t="s">
        <v>648</v>
      </c>
      <c r="H229" s="6" t="str">
        <f aca="false">IF(D229&lt;=35,"Yes","No")</f>
        <v>Yes</v>
      </c>
      <c r="I229" s="6"/>
    </row>
    <row r="230" customFormat="false" ht="15" hidden="false" customHeight="false" outlineLevel="0" collapsed="false">
      <c r="A230" s="6" t="s">
        <v>2045</v>
      </c>
      <c r="B230" s="6" t="s">
        <v>198</v>
      </c>
      <c r="C230" s="6" t="n">
        <v>480</v>
      </c>
      <c r="D230" s="6" t="n">
        <v>10</v>
      </c>
      <c r="E230" s="6" t="s">
        <v>649</v>
      </c>
      <c r="F230" s="6" t="s">
        <v>1885</v>
      </c>
      <c r="G230" s="6" t="s">
        <v>648</v>
      </c>
      <c r="H230" s="6" t="str">
        <f aca="false">IF(D230&lt;=35,"Yes","No")</f>
        <v>Yes</v>
      </c>
      <c r="I230" s="6" t="s">
        <v>1867</v>
      </c>
    </row>
    <row r="231" customFormat="false" ht="15" hidden="false" customHeight="false" outlineLevel="0" collapsed="false">
      <c r="A231" s="6" t="s">
        <v>825</v>
      </c>
      <c r="B231" s="6" t="s">
        <v>198</v>
      </c>
      <c r="C231" s="6" t="n">
        <v>480</v>
      </c>
      <c r="D231" s="6" t="n">
        <v>7</v>
      </c>
      <c r="E231" s="6" t="s">
        <v>649</v>
      </c>
      <c r="F231" s="6" t="s">
        <v>1982</v>
      </c>
      <c r="G231" s="6" t="s">
        <v>648</v>
      </c>
      <c r="H231" s="6" t="str">
        <f aca="false">IF(D231&lt;=35,"Yes","No")</f>
        <v>Yes</v>
      </c>
      <c r="I231" s="6"/>
    </row>
    <row r="232" customFormat="false" ht="15" hidden="false" customHeight="false" outlineLevel="0" collapsed="false">
      <c r="A232" s="6" t="s">
        <v>903</v>
      </c>
      <c r="B232" s="6" t="s">
        <v>198</v>
      </c>
      <c r="C232" s="6" t="n">
        <v>480</v>
      </c>
      <c r="D232" s="6" t="n">
        <v>8</v>
      </c>
      <c r="E232" s="6" t="s">
        <v>649</v>
      </c>
      <c r="F232" s="6" t="s">
        <v>1893</v>
      </c>
      <c r="G232" s="6" t="s">
        <v>648</v>
      </c>
      <c r="H232" s="6" t="str">
        <f aca="false">IF(D232&lt;=35,"Yes","No")</f>
        <v>Yes</v>
      </c>
      <c r="I232" s="6"/>
    </row>
    <row r="233" customFormat="false" ht="15" hidden="false" customHeight="false" outlineLevel="0" collapsed="false">
      <c r="A233" s="6" t="s">
        <v>2046</v>
      </c>
      <c r="B233" s="6" t="s">
        <v>198</v>
      </c>
      <c r="C233" s="6" t="n">
        <v>480</v>
      </c>
      <c r="D233" s="6" t="n">
        <v>5</v>
      </c>
      <c r="E233" s="6" t="s">
        <v>649</v>
      </c>
      <c r="F233" s="6" t="s">
        <v>1911</v>
      </c>
      <c r="G233" s="6" t="s">
        <v>648</v>
      </c>
      <c r="H233" s="6" t="str">
        <f aca="false">IF(D233&lt;=35,"Yes","No")</f>
        <v>Yes</v>
      </c>
      <c r="I233" s="6"/>
    </row>
    <row r="234" customFormat="false" ht="15" hidden="false" customHeight="false" outlineLevel="0" collapsed="false">
      <c r="A234" s="6" t="s">
        <v>1038</v>
      </c>
      <c r="B234" s="6" t="s">
        <v>198</v>
      </c>
      <c r="C234" s="6" t="n">
        <v>480</v>
      </c>
      <c r="D234" s="6" t="n">
        <v>5</v>
      </c>
      <c r="E234" s="6" t="s">
        <v>692</v>
      </c>
      <c r="F234" s="6" t="s">
        <v>1881</v>
      </c>
      <c r="G234" s="6" t="s">
        <v>648</v>
      </c>
      <c r="H234" s="6" t="str">
        <f aca="false">IF(D234&lt;=35,"Yes","No")</f>
        <v>Yes</v>
      </c>
      <c r="I234" s="6"/>
    </row>
    <row r="235" customFormat="false" ht="15" hidden="false" customHeight="false" outlineLevel="0" collapsed="false">
      <c r="A235" s="6" t="s">
        <v>884</v>
      </c>
      <c r="B235" s="6" t="s">
        <v>1853</v>
      </c>
      <c r="C235" s="6" t="n">
        <v>480</v>
      </c>
      <c r="D235" s="6" t="n">
        <v>6</v>
      </c>
      <c r="E235" s="6" t="s">
        <v>881</v>
      </c>
      <c r="F235" s="6" t="s">
        <v>1881</v>
      </c>
      <c r="G235" s="6" t="s">
        <v>627</v>
      </c>
      <c r="H235" s="6" t="str">
        <f aca="false">IF(D235&lt;=35,"Yes","No")</f>
        <v>Yes</v>
      </c>
      <c r="I235" s="6"/>
    </row>
    <row r="236" customFormat="false" ht="15" hidden="false" customHeight="false" outlineLevel="0" collapsed="false">
      <c r="A236" s="6" t="s">
        <v>1281</v>
      </c>
      <c r="B236" s="6" t="s">
        <v>1853</v>
      </c>
      <c r="C236" s="6" t="n">
        <v>480</v>
      </c>
      <c r="D236" s="6" t="n">
        <v>15</v>
      </c>
      <c r="E236" s="6" t="s">
        <v>881</v>
      </c>
      <c r="F236" s="6" t="s">
        <v>1860</v>
      </c>
      <c r="G236" s="6" t="s">
        <v>627</v>
      </c>
      <c r="H236" s="6" t="str">
        <f aca="false">IF(D236&lt;=35,"Yes","No")</f>
        <v>Yes</v>
      </c>
      <c r="I236" s="6"/>
    </row>
    <row r="237" customFormat="false" ht="15" hidden="false" customHeight="false" outlineLevel="0" collapsed="false">
      <c r="A237" s="6" t="s">
        <v>880</v>
      </c>
      <c r="B237" s="6" t="s">
        <v>1853</v>
      </c>
      <c r="C237" s="6" t="n">
        <v>480</v>
      </c>
      <c r="D237" s="6" t="n">
        <v>5</v>
      </c>
      <c r="E237" s="6" t="s">
        <v>881</v>
      </c>
      <c r="F237" s="6" t="s">
        <v>1916</v>
      </c>
      <c r="G237" s="6" t="s">
        <v>627</v>
      </c>
      <c r="H237" s="6" t="str">
        <f aca="false">IF(D237&lt;=35,"Yes","No")</f>
        <v>Yes</v>
      </c>
      <c r="I237" s="6"/>
    </row>
    <row r="238" customFormat="false" ht="15" hidden="false" customHeight="false" outlineLevel="0" collapsed="false">
      <c r="A238" s="6" t="s">
        <v>1317</v>
      </c>
      <c r="B238" s="6" t="s">
        <v>1853</v>
      </c>
      <c r="C238" s="6" t="n">
        <v>480</v>
      </c>
      <c r="D238" s="6" t="n">
        <v>17</v>
      </c>
      <c r="E238" s="6" t="s">
        <v>642</v>
      </c>
      <c r="F238" s="6" t="s">
        <v>1872</v>
      </c>
      <c r="G238" s="6" t="s">
        <v>627</v>
      </c>
      <c r="H238" s="6" t="str">
        <f aca="false">IF(D238&lt;=35,"Yes","No")</f>
        <v>Yes</v>
      </c>
      <c r="I238" s="6"/>
    </row>
    <row r="239" customFormat="false" ht="15" hidden="false" customHeight="false" outlineLevel="0" collapsed="false">
      <c r="A239" s="6" t="s">
        <v>722</v>
      </c>
      <c r="B239" s="6" t="s">
        <v>1853</v>
      </c>
      <c r="C239" s="6" t="n">
        <v>480</v>
      </c>
      <c r="D239" s="6" t="n">
        <v>7</v>
      </c>
      <c r="E239" s="6" t="s">
        <v>642</v>
      </c>
      <c r="F239" s="6" t="s">
        <v>1895</v>
      </c>
      <c r="G239" s="6" t="s">
        <v>627</v>
      </c>
      <c r="H239" s="6" t="str">
        <f aca="false">IF(D239&lt;=35,"Yes","No")</f>
        <v>Yes</v>
      </c>
      <c r="I239" s="6"/>
    </row>
    <row r="240" customFormat="false" ht="15" hidden="false" customHeight="false" outlineLevel="0" collapsed="false">
      <c r="A240" s="6" t="s">
        <v>806</v>
      </c>
      <c r="B240" s="6" t="s">
        <v>1853</v>
      </c>
      <c r="C240" s="6" t="n">
        <v>480</v>
      </c>
      <c r="D240" s="6" t="n">
        <v>11</v>
      </c>
      <c r="E240" s="6" t="s">
        <v>642</v>
      </c>
      <c r="F240" s="6" t="s">
        <v>1878</v>
      </c>
      <c r="G240" s="6" t="s">
        <v>627</v>
      </c>
      <c r="H240" s="6" t="str">
        <f aca="false">IF(D240&lt;=35,"Yes","No")</f>
        <v>Yes</v>
      </c>
      <c r="I240" s="6"/>
    </row>
    <row r="241" customFormat="false" ht="15" hidden="false" customHeight="false" outlineLevel="0" collapsed="false">
      <c r="A241" s="6" t="s">
        <v>1068</v>
      </c>
      <c r="B241" s="6" t="s">
        <v>1853</v>
      </c>
      <c r="C241" s="6" t="n">
        <v>480</v>
      </c>
      <c r="D241" s="6" t="n">
        <v>6</v>
      </c>
      <c r="E241" s="6" t="s">
        <v>642</v>
      </c>
      <c r="F241" s="6" t="s">
        <v>1869</v>
      </c>
      <c r="G241" s="6" t="s">
        <v>627</v>
      </c>
      <c r="H241" s="6" t="str">
        <f aca="false">IF(D241&lt;=35,"Yes","No")</f>
        <v>Yes</v>
      </c>
      <c r="I241" s="6"/>
    </row>
    <row r="242" customFormat="false" ht="15" hidden="false" customHeight="false" outlineLevel="0" collapsed="false">
      <c r="A242" s="6" t="s">
        <v>707</v>
      </c>
      <c r="B242" s="6" t="s">
        <v>1853</v>
      </c>
      <c r="C242" s="6" t="n">
        <v>480</v>
      </c>
      <c r="D242" s="6" t="n">
        <v>6</v>
      </c>
      <c r="E242" s="6" t="s">
        <v>642</v>
      </c>
      <c r="F242" s="6" t="s">
        <v>2028</v>
      </c>
      <c r="G242" s="6" t="s">
        <v>627</v>
      </c>
      <c r="H242" s="6" t="str">
        <f aca="false">IF(D242&lt;=35,"Yes","No")</f>
        <v>Yes</v>
      </c>
      <c r="I242" s="6"/>
    </row>
    <row r="243" customFormat="false" ht="15" hidden="false" customHeight="false" outlineLevel="0" collapsed="false">
      <c r="A243" s="6" t="s">
        <v>1205</v>
      </c>
      <c r="B243" s="6" t="s">
        <v>1853</v>
      </c>
      <c r="C243" s="6" t="n">
        <v>480</v>
      </c>
      <c r="D243" s="6" t="n">
        <v>12</v>
      </c>
      <c r="E243" s="6" t="s">
        <v>738</v>
      </c>
      <c r="F243" s="6" t="s">
        <v>1963</v>
      </c>
      <c r="G243" s="6" t="s">
        <v>627</v>
      </c>
      <c r="H243" s="6" t="str">
        <f aca="false">IF(D243&lt;=35,"Yes","No")</f>
        <v>Yes</v>
      </c>
      <c r="I243" s="6"/>
    </row>
    <row r="244" customFormat="false" ht="15" hidden="false" customHeight="false" outlineLevel="0" collapsed="false">
      <c r="A244" s="6" t="s">
        <v>984</v>
      </c>
      <c r="B244" s="6" t="s">
        <v>198</v>
      </c>
      <c r="C244" s="6" t="n">
        <v>480</v>
      </c>
      <c r="D244" s="6" t="n">
        <v>8</v>
      </c>
      <c r="E244" s="6" t="s">
        <v>642</v>
      </c>
      <c r="F244" s="6" t="s">
        <v>1893</v>
      </c>
      <c r="G244" s="6" t="s">
        <v>627</v>
      </c>
      <c r="H244" s="6" t="str">
        <f aca="false">IF(D244&lt;=35,"Yes","No")</f>
        <v>Yes</v>
      </c>
      <c r="I244" s="6"/>
    </row>
    <row r="245" customFormat="false" ht="15" hidden="false" customHeight="false" outlineLevel="0" collapsed="false">
      <c r="A245" s="6" t="s">
        <v>682</v>
      </c>
      <c r="B245" s="6" t="s">
        <v>198</v>
      </c>
      <c r="C245" s="6" t="n">
        <v>480</v>
      </c>
      <c r="D245" s="6" t="n">
        <v>5</v>
      </c>
      <c r="E245" s="6" t="s">
        <v>642</v>
      </c>
      <c r="F245" s="6" t="s">
        <v>1882</v>
      </c>
      <c r="G245" s="6" t="s">
        <v>627</v>
      </c>
      <c r="H245" s="6" t="str">
        <f aca="false">IF(D245&lt;=35,"Yes","No")</f>
        <v>Yes</v>
      </c>
      <c r="I245" s="6"/>
    </row>
    <row r="246" customFormat="false" ht="15" hidden="false" customHeight="false" outlineLevel="0" collapsed="false">
      <c r="A246" s="6" t="s">
        <v>1153</v>
      </c>
      <c r="B246" s="6" t="s">
        <v>198</v>
      </c>
      <c r="C246" s="6" t="n">
        <v>480</v>
      </c>
      <c r="D246" s="6" t="n">
        <v>8</v>
      </c>
      <c r="E246" s="6" t="s">
        <v>642</v>
      </c>
      <c r="F246" s="6" t="s">
        <v>1907</v>
      </c>
      <c r="G246" s="6" t="s">
        <v>627</v>
      </c>
      <c r="H246" s="6" t="str">
        <f aca="false">IF(D246&lt;=35,"Yes","No")</f>
        <v>Yes</v>
      </c>
      <c r="I246" s="6"/>
    </row>
    <row r="247" customFormat="false" ht="15" hidden="false" customHeight="false" outlineLevel="0" collapsed="false">
      <c r="A247" s="6" t="s">
        <v>1052</v>
      </c>
      <c r="B247" s="6" t="s">
        <v>198</v>
      </c>
      <c r="C247" s="6" t="n">
        <v>480</v>
      </c>
      <c r="D247" s="6" t="n">
        <v>6</v>
      </c>
      <c r="E247" s="6" t="s">
        <v>642</v>
      </c>
      <c r="F247" s="6" t="s">
        <v>1938</v>
      </c>
      <c r="G247" s="6" t="s">
        <v>627</v>
      </c>
      <c r="H247" s="6" t="str">
        <f aca="false">IF(D247&lt;=35,"Yes","No")</f>
        <v>Yes</v>
      </c>
      <c r="I247" s="6"/>
    </row>
    <row r="248" customFormat="false" ht="15" hidden="false" customHeight="false" outlineLevel="0" collapsed="false">
      <c r="A248" s="6" t="s">
        <v>1368</v>
      </c>
      <c r="B248" s="6" t="s">
        <v>1853</v>
      </c>
      <c r="C248" s="6" t="n">
        <v>480</v>
      </c>
      <c r="D248" s="6" t="n">
        <v>20</v>
      </c>
      <c r="E248" s="6" t="s">
        <v>649</v>
      </c>
      <c r="F248" s="6" t="s">
        <v>2047</v>
      </c>
      <c r="G248" s="6" t="s">
        <v>648</v>
      </c>
      <c r="H248" s="6" t="str">
        <f aca="false">IF(D248&lt;=35,"Yes","No")</f>
        <v>Yes</v>
      </c>
      <c r="I248" s="6"/>
    </row>
    <row r="249" customFormat="false" ht="15" hidden="false" customHeight="false" outlineLevel="0" collapsed="false">
      <c r="A249" s="6" t="s">
        <v>829</v>
      </c>
      <c r="B249" s="6" t="s">
        <v>1853</v>
      </c>
      <c r="C249" s="6" t="n">
        <v>480</v>
      </c>
      <c r="D249" s="6" t="n">
        <v>6</v>
      </c>
      <c r="E249" s="6" t="s">
        <v>2048</v>
      </c>
      <c r="F249" s="6" t="s">
        <v>1887</v>
      </c>
      <c r="G249" s="6" t="s">
        <v>648</v>
      </c>
      <c r="H249" s="6" t="str">
        <f aca="false">IF(D249&lt;=35,"Yes","No")</f>
        <v>Yes</v>
      </c>
      <c r="I249" s="6"/>
    </row>
    <row r="250" customFormat="false" ht="15" hidden="false" customHeight="false" outlineLevel="0" collapsed="false">
      <c r="A250" s="6" t="s">
        <v>1249</v>
      </c>
      <c r="B250" s="6" t="s">
        <v>1853</v>
      </c>
      <c r="C250" s="6" t="n">
        <v>480</v>
      </c>
      <c r="D250" s="6" t="n">
        <v>13</v>
      </c>
      <c r="E250" s="6" t="s">
        <v>2049</v>
      </c>
      <c r="F250" s="6" t="s">
        <v>1946</v>
      </c>
      <c r="G250" s="6" t="s">
        <v>648</v>
      </c>
      <c r="H250" s="6" t="str">
        <f aca="false">IF(D250&lt;=35,"Yes","No")</f>
        <v>Yes</v>
      </c>
      <c r="I250" s="6"/>
    </row>
    <row r="251" customFormat="false" ht="15" hidden="false" customHeight="false" outlineLevel="0" collapsed="false">
      <c r="A251" s="6" t="s">
        <v>1245</v>
      </c>
      <c r="B251" s="6" t="s">
        <v>1853</v>
      </c>
      <c r="C251" s="6" t="n">
        <v>480</v>
      </c>
      <c r="D251" s="6" t="n">
        <v>14</v>
      </c>
      <c r="E251" s="6" t="s">
        <v>2050</v>
      </c>
      <c r="F251" s="6" t="s">
        <v>1946</v>
      </c>
      <c r="G251" s="6" t="s">
        <v>648</v>
      </c>
      <c r="H251" s="6" t="str">
        <f aca="false">IF(D251&lt;=35,"Yes","No")</f>
        <v>Yes</v>
      </c>
      <c r="I251" s="6"/>
    </row>
    <row r="252" customFormat="false" ht="15" hidden="false" customHeight="false" outlineLevel="0" collapsed="false">
      <c r="A252" s="6" t="s">
        <v>1071</v>
      </c>
      <c r="B252" s="6" t="s">
        <v>198</v>
      </c>
      <c r="C252" s="6" t="n">
        <v>480</v>
      </c>
      <c r="D252" s="6" t="n">
        <v>6</v>
      </c>
      <c r="E252" s="6" t="s">
        <v>642</v>
      </c>
      <c r="F252" s="6" t="s">
        <v>2051</v>
      </c>
      <c r="G252" s="6" t="s">
        <v>627</v>
      </c>
      <c r="H252" s="6" t="str">
        <f aca="false">IF(D252&lt;=35,"Yes","No")</f>
        <v>Yes</v>
      </c>
      <c r="I252" s="6"/>
    </row>
    <row r="253" customFormat="false" ht="15" hidden="false" customHeight="false" outlineLevel="0" collapsed="false">
      <c r="A253" s="6" t="s">
        <v>1283</v>
      </c>
      <c r="B253" s="6" t="s">
        <v>198</v>
      </c>
      <c r="C253" s="6" t="n">
        <v>480</v>
      </c>
      <c r="D253" s="6" t="n">
        <v>15</v>
      </c>
      <c r="E253" s="6" t="s">
        <v>649</v>
      </c>
      <c r="F253" s="6" t="s">
        <v>2052</v>
      </c>
      <c r="G253" s="6" t="s">
        <v>648</v>
      </c>
      <c r="H253" s="6" t="str">
        <f aca="false">IF(D253&lt;=35,"Yes","No")</f>
        <v>Yes</v>
      </c>
      <c r="I253" s="6"/>
    </row>
    <row r="254" customFormat="false" ht="15" hidden="false" customHeight="false" outlineLevel="0" collapsed="false">
      <c r="A254" s="6" t="s">
        <v>787</v>
      </c>
      <c r="B254" s="6" t="s">
        <v>198</v>
      </c>
      <c r="C254" s="6" t="n">
        <v>480</v>
      </c>
      <c r="D254" s="6" t="n">
        <v>7</v>
      </c>
      <c r="E254" s="6" t="s">
        <v>2053</v>
      </c>
      <c r="F254" s="6" t="s">
        <v>2054</v>
      </c>
      <c r="G254" s="6" t="s">
        <v>648</v>
      </c>
      <c r="H254" s="6" t="str">
        <f aca="false">IF(D254&lt;=35,"Yes","No")</f>
        <v>Yes</v>
      </c>
      <c r="I254" s="6"/>
    </row>
    <row r="255" customFormat="false" ht="15" hidden="false" customHeight="false" outlineLevel="0" collapsed="false">
      <c r="A255" s="6" t="s">
        <v>97</v>
      </c>
      <c r="B255" s="6" t="s">
        <v>1853</v>
      </c>
      <c r="C255" s="6" t="n">
        <v>480</v>
      </c>
      <c r="D255" s="6" t="n">
        <v>5</v>
      </c>
      <c r="E255" s="6" t="s">
        <v>649</v>
      </c>
      <c r="F255" s="6" t="s">
        <v>1884</v>
      </c>
      <c r="G255" s="6" t="s">
        <v>648</v>
      </c>
      <c r="H255" s="6" t="str">
        <f aca="false">IF(D255&lt;=35,"Yes","No")</f>
        <v>Yes</v>
      </c>
      <c r="I255" s="6"/>
    </row>
    <row r="256" customFormat="false" ht="15" hidden="false" customHeight="false" outlineLevel="0" collapsed="false">
      <c r="A256" s="6" t="s">
        <v>981</v>
      </c>
      <c r="B256" s="6" t="s">
        <v>1853</v>
      </c>
      <c r="C256" s="6" t="n">
        <v>480</v>
      </c>
      <c r="D256" s="6" t="n">
        <v>6</v>
      </c>
      <c r="E256" s="6" t="s">
        <v>796</v>
      </c>
      <c r="F256" s="6" t="s">
        <v>1881</v>
      </c>
      <c r="G256" s="6" t="s">
        <v>648</v>
      </c>
      <c r="H256" s="6" t="str">
        <f aca="false">IF(D256&lt;=35,"Yes","No")</f>
        <v>Yes</v>
      </c>
      <c r="I256" s="6"/>
    </row>
    <row r="257" customFormat="false" ht="15" hidden="false" customHeight="false" outlineLevel="0" collapsed="false">
      <c r="A257" s="6" t="s">
        <v>1253</v>
      </c>
      <c r="B257" s="6" t="s">
        <v>1853</v>
      </c>
      <c r="C257" s="6" t="n">
        <v>480</v>
      </c>
      <c r="D257" s="6" t="n">
        <v>13</v>
      </c>
      <c r="E257" s="6" t="s">
        <v>796</v>
      </c>
      <c r="F257" s="6" t="s">
        <v>1860</v>
      </c>
      <c r="G257" s="6" t="s">
        <v>648</v>
      </c>
      <c r="H257" s="6" t="str">
        <f aca="false">IF(D257&lt;=35,"Yes","No")</f>
        <v>Yes</v>
      </c>
      <c r="I257" s="6"/>
    </row>
    <row r="258" customFormat="false" ht="15" hidden="false" customHeight="false" outlineLevel="0" collapsed="false">
      <c r="A258" s="6" t="s">
        <v>1301</v>
      </c>
      <c r="B258" s="6" t="s">
        <v>1853</v>
      </c>
      <c r="C258" s="6" t="n">
        <v>480</v>
      </c>
      <c r="D258" s="6" t="n">
        <v>16</v>
      </c>
      <c r="E258" s="6" t="s">
        <v>642</v>
      </c>
      <c r="F258" s="6" t="s">
        <v>2000</v>
      </c>
      <c r="G258" s="6" t="s">
        <v>627</v>
      </c>
      <c r="H258" s="6" t="str">
        <f aca="false">IF(D258&lt;=35,"Yes","No")</f>
        <v>Yes</v>
      </c>
      <c r="I258" s="6"/>
    </row>
    <row r="259" customFormat="false" ht="15" hidden="false" customHeight="false" outlineLevel="0" collapsed="false">
      <c r="A259" s="6" t="s">
        <v>729</v>
      </c>
      <c r="B259" s="6" t="s">
        <v>1853</v>
      </c>
      <c r="C259" s="6" t="n">
        <v>480</v>
      </c>
      <c r="D259" s="6" t="n">
        <v>6</v>
      </c>
      <c r="E259" s="6" t="s">
        <v>642</v>
      </c>
      <c r="F259" s="6" t="s">
        <v>2055</v>
      </c>
      <c r="G259" s="6" t="s">
        <v>627</v>
      </c>
      <c r="H259" s="6" t="str">
        <f aca="false">IF(D259&lt;=35,"Yes","No")</f>
        <v>Yes</v>
      </c>
      <c r="I259" s="6"/>
    </row>
    <row r="260" customFormat="false" ht="15" hidden="false" customHeight="false" outlineLevel="0" collapsed="false">
      <c r="A260" s="6" t="s">
        <v>1268</v>
      </c>
      <c r="B260" s="6" t="s">
        <v>1853</v>
      </c>
      <c r="C260" s="6" t="n">
        <v>480</v>
      </c>
      <c r="D260" s="6" t="n">
        <v>14</v>
      </c>
      <c r="E260" s="6" t="s">
        <v>642</v>
      </c>
      <c r="F260" s="6" t="s">
        <v>2056</v>
      </c>
      <c r="G260" s="6" t="s">
        <v>627</v>
      </c>
      <c r="H260" s="6" t="str">
        <f aca="false">IF(D260&lt;=35,"Yes","No")</f>
        <v>Yes</v>
      </c>
      <c r="I260" s="6"/>
    </row>
    <row r="261" customFormat="false" ht="15" hidden="false" customHeight="false" outlineLevel="0" collapsed="false">
      <c r="A261" s="6" t="s">
        <v>1113</v>
      </c>
      <c r="B261" s="6" t="s">
        <v>1853</v>
      </c>
      <c r="C261" s="6" t="n">
        <v>480</v>
      </c>
      <c r="D261" s="6" t="n">
        <v>7</v>
      </c>
      <c r="E261" s="6" t="s">
        <v>642</v>
      </c>
      <c r="F261" s="6" t="s">
        <v>2057</v>
      </c>
      <c r="G261" s="6" t="s">
        <v>627</v>
      </c>
      <c r="H261" s="6" t="str">
        <f aca="false">IF(D261&lt;=35,"Yes","No")</f>
        <v>Yes</v>
      </c>
      <c r="I261" s="6"/>
    </row>
    <row r="262" customFormat="false" ht="15" hidden="false" customHeight="false" outlineLevel="0" collapsed="false">
      <c r="A262" s="6" t="s">
        <v>820</v>
      </c>
      <c r="B262" s="6" t="s">
        <v>1853</v>
      </c>
      <c r="C262" s="6" t="n">
        <v>480</v>
      </c>
      <c r="D262" s="6" t="n">
        <v>9</v>
      </c>
      <c r="E262" s="6" t="s">
        <v>642</v>
      </c>
      <c r="F262" s="6" t="s">
        <v>2058</v>
      </c>
      <c r="G262" s="6" t="s">
        <v>627</v>
      </c>
      <c r="H262" s="6" t="str">
        <f aca="false">IF(D262&lt;=35,"Yes","No")</f>
        <v>Yes</v>
      </c>
      <c r="I262" s="6"/>
    </row>
    <row r="263" customFormat="false" ht="15" hidden="false" customHeight="false" outlineLevel="0" collapsed="false">
      <c r="A263" s="6" t="s">
        <v>1045</v>
      </c>
      <c r="B263" s="6" t="s">
        <v>198</v>
      </c>
      <c r="C263" s="6" t="n">
        <v>480</v>
      </c>
      <c r="D263" s="6" t="n">
        <v>6</v>
      </c>
      <c r="E263" s="6" t="s">
        <v>642</v>
      </c>
      <c r="F263" s="6" t="s">
        <v>2059</v>
      </c>
      <c r="G263" s="6" t="s">
        <v>627</v>
      </c>
      <c r="H263" s="6" t="str">
        <f aca="false">IF(D263&lt;=35,"Yes","No")</f>
        <v>Yes</v>
      </c>
      <c r="I263" s="6"/>
    </row>
    <row r="264" customFormat="false" ht="15" hidden="false" customHeight="false" outlineLevel="0" collapsed="false">
      <c r="A264" s="6" t="s">
        <v>995</v>
      </c>
      <c r="B264" s="6" t="s">
        <v>198</v>
      </c>
      <c r="C264" s="6" t="n">
        <v>480</v>
      </c>
      <c r="D264" s="6" t="n">
        <v>7</v>
      </c>
      <c r="E264" s="6" t="s">
        <v>642</v>
      </c>
      <c r="F264" s="6" t="s">
        <v>1965</v>
      </c>
      <c r="G264" s="6" t="s">
        <v>627</v>
      </c>
      <c r="H264" s="6" t="str">
        <f aca="false">IF(D264&lt;=35,"Yes","No")</f>
        <v>Yes</v>
      </c>
      <c r="I264" s="6"/>
    </row>
    <row r="265" customFormat="false" ht="15" hidden="false" customHeight="false" outlineLevel="0" collapsed="false">
      <c r="A265" s="6" t="s">
        <v>729</v>
      </c>
      <c r="B265" s="6" t="s">
        <v>198</v>
      </c>
      <c r="C265" s="6" t="n">
        <v>480</v>
      </c>
      <c r="D265" s="6" t="n">
        <v>4</v>
      </c>
      <c r="E265" s="6" t="s">
        <v>642</v>
      </c>
      <c r="F265" s="6" t="s">
        <v>2055</v>
      </c>
      <c r="G265" s="6" t="s">
        <v>627</v>
      </c>
      <c r="H265" s="6" t="str">
        <f aca="false">IF(D265&lt;=35,"Yes","No")</f>
        <v>Yes</v>
      </c>
      <c r="I265" s="6"/>
    </row>
    <row r="266" customFormat="false" ht="15" hidden="false" customHeight="false" outlineLevel="0" collapsed="false">
      <c r="A266" s="6" t="s">
        <v>865</v>
      </c>
      <c r="B266" s="6" t="s">
        <v>198</v>
      </c>
      <c r="C266" s="6" t="n">
        <v>480</v>
      </c>
      <c r="D266" s="6" t="n">
        <v>6</v>
      </c>
      <c r="E266" s="6" t="s">
        <v>642</v>
      </c>
      <c r="F266" s="6" t="s">
        <v>2060</v>
      </c>
      <c r="G266" s="6" t="s">
        <v>627</v>
      </c>
      <c r="H266" s="6" t="str">
        <f aca="false">IF(D266&lt;=35,"Yes","No")</f>
        <v>Yes</v>
      </c>
      <c r="I266" s="6"/>
    </row>
    <row r="267" customFormat="false" ht="15" hidden="false" customHeight="false" outlineLevel="0" collapsed="false">
      <c r="A267" s="6" t="s">
        <v>862</v>
      </c>
      <c r="B267" s="6" t="s">
        <v>198</v>
      </c>
      <c r="C267" s="6" t="n">
        <v>480</v>
      </c>
      <c r="D267" s="6" t="n">
        <v>6</v>
      </c>
      <c r="E267" s="6" t="s">
        <v>642</v>
      </c>
      <c r="F267" s="6" t="s">
        <v>2061</v>
      </c>
      <c r="G267" s="6" t="s">
        <v>627</v>
      </c>
      <c r="H267" s="6" t="str">
        <f aca="false">IF(D267&lt;=35,"Yes","No")</f>
        <v>Yes</v>
      </c>
      <c r="I267" s="6"/>
    </row>
    <row r="268" customFormat="false" ht="15" hidden="false" customHeight="false" outlineLevel="0" collapsed="false">
      <c r="A268" s="6" t="s">
        <v>1160</v>
      </c>
      <c r="B268" s="6" t="s">
        <v>198</v>
      </c>
      <c r="C268" s="6" t="n">
        <v>480</v>
      </c>
      <c r="D268" s="6" t="n">
        <v>8</v>
      </c>
      <c r="E268" s="6" t="s">
        <v>642</v>
      </c>
      <c r="F268" s="6" t="s">
        <v>1992</v>
      </c>
      <c r="G268" s="6" t="s">
        <v>627</v>
      </c>
      <c r="H268" s="6" t="str">
        <f aca="false">IF(D268&lt;=35,"Yes","No")</f>
        <v>Yes</v>
      </c>
      <c r="I268" s="6"/>
    </row>
    <row r="269" customFormat="false" ht="15" hidden="false" customHeight="false" outlineLevel="0" collapsed="false">
      <c r="A269" s="6" t="s">
        <v>1075</v>
      </c>
      <c r="B269" s="6" t="s">
        <v>198</v>
      </c>
      <c r="C269" s="6" t="n">
        <v>480</v>
      </c>
      <c r="D269" s="6" t="n">
        <v>6</v>
      </c>
      <c r="E269" s="6" t="s">
        <v>642</v>
      </c>
      <c r="F269" s="6" t="s">
        <v>2052</v>
      </c>
      <c r="G269" s="6" t="s">
        <v>627</v>
      </c>
      <c r="H269" s="6" t="str">
        <f aca="false">IF(D269&lt;=35,"Yes","No")</f>
        <v>Yes</v>
      </c>
      <c r="I269" s="6"/>
    </row>
    <row r="270" customFormat="false" ht="15" hidden="false" customHeight="false" outlineLevel="0" collapsed="false">
      <c r="A270" s="6" t="s">
        <v>936</v>
      </c>
      <c r="B270" s="6" t="s">
        <v>198</v>
      </c>
      <c r="C270" s="6" t="n">
        <v>480</v>
      </c>
      <c r="D270" s="6" t="n">
        <v>5</v>
      </c>
      <c r="E270" s="6" t="s">
        <v>937</v>
      </c>
      <c r="F270" s="6" t="s">
        <v>1891</v>
      </c>
      <c r="G270" s="6" t="s">
        <v>627</v>
      </c>
      <c r="H270" s="6" t="str">
        <f aca="false">IF(D270&lt;=35,"Yes","No")</f>
        <v>Yes</v>
      </c>
      <c r="I270" s="6"/>
    </row>
    <row r="271" customFormat="false" ht="15" hidden="false" customHeight="false" outlineLevel="0" collapsed="false">
      <c r="A271" s="6" t="s">
        <v>858</v>
      </c>
      <c r="B271" s="6" t="s">
        <v>198</v>
      </c>
      <c r="C271" s="6" t="n">
        <v>480</v>
      </c>
      <c r="D271" s="6" t="n">
        <v>11</v>
      </c>
      <c r="E271" s="6" t="s">
        <v>859</v>
      </c>
      <c r="F271" s="6" t="s">
        <v>2038</v>
      </c>
      <c r="G271" s="6" t="s">
        <v>627</v>
      </c>
      <c r="H271" s="6" t="str">
        <f aca="false">IF(D271&lt;=35,"Yes","No")</f>
        <v>Yes</v>
      </c>
      <c r="I271" s="6"/>
    </row>
    <row r="272" customFormat="false" ht="15" hidden="false" customHeight="false" outlineLevel="0" collapsed="false">
      <c r="A272" s="6" t="s">
        <v>924</v>
      </c>
      <c r="B272" s="6" t="s">
        <v>198</v>
      </c>
      <c r="C272" s="6" t="n">
        <v>440</v>
      </c>
      <c r="D272" s="6" t="n">
        <v>27</v>
      </c>
      <c r="E272" s="6" t="s">
        <v>700</v>
      </c>
      <c r="F272" s="6" t="s">
        <v>1918</v>
      </c>
      <c r="G272" s="6" t="s">
        <v>648</v>
      </c>
      <c r="H272" s="6" t="str">
        <f aca="false">IF(D272&lt;=35,"Yes","No")</f>
        <v>Yes</v>
      </c>
      <c r="I272" s="6"/>
    </row>
    <row r="273" customFormat="false" ht="15" hidden="false" customHeight="false" outlineLevel="0" collapsed="false">
      <c r="A273" s="6" t="s">
        <v>1107</v>
      </c>
      <c r="B273" s="6" t="s">
        <v>198</v>
      </c>
      <c r="C273" s="6" t="n">
        <v>440</v>
      </c>
      <c r="D273" s="6" t="n">
        <v>17</v>
      </c>
      <c r="E273" s="6" t="s">
        <v>738</v>
      </c>
      <c r="F273" s="6" t="s">
        <v>1940</v>
      </c>
      <c r="G273" s="6" t="s">
        <v>627</v>
      </c>
      <c r="H273" s="6" t="str">
        <f aca="false">IF(D273&lt;=35,"Yes","No")</f>
        <v>Yes</v>
      </c>
      <c r="I273" s="6"/>
    </row>
    <row r="274" customFormat="false" ht="15" hidden="false" customHeight="false" outlineLevel="0" collapsed="false">
      <c r="A274" s="6" t="s">
        <v>1393</v>
      </c>
      <c r="B274" s="6" t="s">
        <v>1853</v>
      </c>
      <c r="C274" s="6" t="n">
        <v>440</v>
      </c>
      <c r="D274" s="6" t="n">
        <v>19</v>
      </c>
      <c r="E274" s="6" t="s">
        <v>649</v>
      </c>
      <c r="F274" s="6" t="s">
        <v>2062</v>
      </c>
      <c r="G274" s="6" t="s">
        <v>648</v>
      </c>
      <c r="H274" s="6" t="str">
        <f aca="false">IF(D274&lt;=35,"Yes","No")</f>
        <v>Yes</v>
      </c>
      <c r="I274" s="6"/>
    </row>
    <row r="275" customFormat="false" ht="15" hidden="false" customHeight="false" outlineLevel="0" collapsed="false">
      <c r="A275" s="6" t="s">
        <v>2063</v>
      </c>
      <c r="B275" s="6" t="s">
        <v>1853</v>
      </c>
      <c r="C275" s="6" t="n">
        <v>410</v>
      </c>
      <c r="D275" s="6" t="n">
        <v>14</v>
      </c>
      <c r="E275" s="6" t="s">
        <v>649</v>
      </c>
      <c r="F275" s="6" t="s">
        <v>1895</v>
      </c>
      <c r="G275" s="6" t="s">
        <v>648</v>
      </c>
      <c r="H275" s="6" t="str">
        <f aca="false">IF(D275&lt;=35,"Yes","No")</f>
        <v>Yes</v>
      </c>
      <c r="I275" s="6"/>
    </row>
    <row r="276" customFormat="false" ht="15" hidden="false" customHeight="false" outlineLevel="0" collapsed="false">
      <c r="A276" s="6" t="s">
        <v>1298</v>
      </c>
      <c r="B276" s="6" t="s">
        <v>198</v>
      </c>
      <c r="C276" s="6" t="n">
        <v>410</v>
      </c>
      <c r="D276" s="6" t="n">
        <v>12</v>
      </c>
      <c r="E276" s="6" t="s">
        <v>649</v>
      </c>
      <c r="F276" s="6" t="s">
        <v>2041</v>
      </c>
      <c r="G276" s="6" t="s">
        <v>648</v>
      </c>
      <c r="H276" s="6" t="str">
        <f aca="false">IF(D276&lt;=35,"Yes","No")</f>
        <v>Yes</v>
      </c>
      <c r="I276" s="6"/>
    </row>
    <row r="277" customFormat="false" ht="15" hidden="false" customHeight="false" outlineLevel="0" collapsed="false">
      <c r="A277" s="6" t="s">
        <v>838</v>
      </c>
      <c r="B277" s="6" t="s">
        <v>1853</v>
      </c>
      <c r="C277" s="6" t="n">
        <v>390</v>
      </c>
      <c r="D277" s="6" t="n">
        <v>16</v>
      </c>
      <c r="E277" s="6" t="s">
        <v>649</v>
      </c>
      <c r="F277" s="6" t="s">
        <v>1925</v>
      </c>
      <c r="G277" s="6" t="s">
        <v>648</v>
      </c>
      <c r="H277" s="6" t="str">
        <f aca="false">IF(D277&lt;=35,"Yes","No")</f>
        <v>Yes</v>
      </c>
      <c r="I277" s="6"/>
    </row>
    <row r="278" customFormat="false" ht="15" hidden="false" customHeight="false" outlineLevel="0" collapsed="false">
      <c r="A278" s="6" t="s">
        <v>747</v>
      </c>
      <c r="B278" s="6" t="s">
        <v>1853</v>
      </c>
      <c r="C278" s="6" t="n">
        <v>390</v>
      </c>
      <c r="D278" s="6" t="n">
        <v>20</v>
      </c>
      <c r="E278" s="6" t="s">
        <v>649</v>
      </c>
      <c r="F278" s="6" t="s">
        <v>1897</v>
      </c>
      <c r="G278" s="6" t="s">
        <v>648</v>
      </c>
      <c r="H278" s="6" t="str">
        <f aca="false">IF(D278&lt;=35,"Yes","No")</f>
        <v>Yes</v>
      </c>
      <c r="I278" s="6"/>
    </row>
    <row r="279" customFormat="false" ht="15" hidden="false" customHeight="false" outlineLevel="0" collapsed="false">
      <c r="A279" s="6" t="s">
        <v>2064</v>
      </c>
      <c r="B279" s="6" t="s">
        <v>1853</v>
      </c>
      <c r="C279" s="6" t="n">
        <v>390</v>
      </c>
      <c r="D279" s="6" t="n">
        <v>7</v>
      </c>
      <c r="E279" s="6" t="s">
        <v>649</v>
      </c>
      <c r="F279" s="6" t="s">
        <v>1911</v>
      </c>
      <c r="G279" s="6" t="s">
        <v>648</v>
      </c>
      <c r="H279" s="6" t="str">
        <f aca="false">IF(D279&lt;=35,"Yes","No")</f>
        <v>Yes</v>
      </c>
      <c r="I279" s="6"/>
    </row>
    <row r="280" customFormat="false" ht="15" hidden="false" customHeight="false" outlineLevel="0" collapsed="false">
      <c r="A280" s="6" t="s">
        <v>887</v>
      </c>
      <c r="B280" s="6" t="s">
        <v>1853</v>
      </c>
      <c r="C280" s="6" t="n">
        <v>390</v>
      </c>
      <c r="D280" s="6" t="n">
        <v>18</v>
      </c>
      <c r="E280" s="6" t="s">
        <v>649</v>
      </c>
      <c r="F280" s="6" t="s">
        <v>1931</v>
      </c>
      <c r="G280" s="6" t="s">
        <v>648</v>
      </c>
      <c r="H280" s="6" t="str">
        <f aca="false">IF(D280&lt;=35,"Yes","No")</f>
        <v>Yes</v>
      </c>
      <c r="I280" s="6"/>
    </row>
    <row r="281" customFormat="false" ht="15" hidden="false" customHeight="false" outlineLevel="0" collapsed="false">
      <c r="A281" s="6" t="s">
        <v>1165</v>
      </c>
      <c r="B281" s="6" t="s">
        <v>1853</v>
      </c>
      <c r="C281" s="6" t="n">
        <v>390</v>
      </c>
      <c r="D281" s="6" t="n">
        <v>5</v>
      </c>
      <c r="E281" s="6" t="s">
        <v>692</v>
      </c>
      <c r="F281" s="6" t="s">
        <v>1887</v>
      </c>
      <c r="G281" s="6" t="s">
        <v>648</v>
      </c>
      <c r="H281" s="6" t="str">
        <f aca="false">IF(D281&lt;=35,"Yes","No")</f>
        <v>Yes</v>
      </c>
      <c r="I281" s="6"/>
    </row>
    <row r="282" customFormat="false" ht="15" hidden="false" customHeight="false" outlineLevel="0" collapsed="false">
      <c r="A282" s="6" t="s">
        <v>849</v>
      </c>
      <c r="B282" s="6" t="s">
        <v>1853</v>
      </c>
      <c r="C282" s="6" t="n">
        <v>390</v>
      </c>
      <c r="D282" s="6" t="n">
        <v>5</v>
      </c>
      <c r="E282" s="6" t="s">
        <v>850</v>
      </c>
      <c r="F282" s="6" t="s">
        <v>1876</v>
      </c>
      <c r="G282" s="6" t="s">
        <v>648</v>
      </c>
      <c r="H282" s="6" t="str">
        <f aca="false">IF(D282&lt;=35,"Yes","No")</f>
        <v>Yes</v>
      </c>
      <c r="I282" s="6"/>
    </row>
    <row r="283" customFormat="false" ht="15" hidden="false" customHeight="false" outlineLevel="0" collapsed="false">
      <c r="A283" s="6" t="s">
        <v>733</v>
      </c>
      <c r="B283" s="6" t="s">
        <v>1853</v>
      </c>
      <c r="C283" s="6" t="n">
        <v>390</v>
      </c>
      <c r="D283" s="6" t="n">
        <v>0</v>
      </c>
      <c r="E283" s="6" t="s">
        <v>700</v>
      </c>
      <c r="F283" s="6" t="s">
        <v>1920</v>
      </c>
      <c r="G283" s="6" t="s">
        <v>648</v>
      </c>
      <c r="H283" s="6" t="str">
        <f aca="false">IF(D283&lt;=35,"Yes","No")</f>
        <v>Yes</v>
      </c>
      <c r="I283" s="6" t="s">
        <v>1867</v>
      </c>
    </row>
    <row r="284" customFormat="false" ht="15" hidden="false" customHeight="false" outlineLevel="0" collapsed="false">
      <c r="A284" s="6" t="s">
        <v>719</v>
      </c>
      <c r="B284" s="6" t="s">
        <v>1853</v>
      </c>
      <c r="C284" s="6" t="n">
        <v>390</v>
      </c>
      <c r="D284" s="6" t="n">
        <v>5</v>
      </c>
      <c r="E284" s="6" t="s">
        <v>700</v>
      </c>
      <c r="F284" s="6" t="s">
        <v>1911</v>
      </c>
      <c r="G284" s="6" t="s">
        <v>648</v>
      </c>
      <c r="H284" s="6" t="str">
        <f aca="false">IF(D284&lt;=35,"Yes","No")</f>
        <v>Yes</v>
      </c>
      <c r="I284" s="6"/>
    </row>
    <row r="285" customFormat="false" ht="15" hidden="false" customHeight="false" outlineLevel="0" collapsed="false">
      <c r="A285" s="6" t="s">
        <v>1031</v>
      </c>
      <c r="B285" s="6" t="s">
        <v>1853</v>
      </c>
      <c r="C285" s="6" t="n">
        <v>390</v>
      </c>
      <c r="D285" s="6" t="n">
        <v>7</v>
      </c>
      <c r="E285" s="6" t="s">
        <v>700</v>
      </c>
      <c r="F285" s="6" t="s">
        <v>1901</v>
      </c>
      <c r="G285" s="6" t="s">
        <v>648</v>
      </c>
      <c r="H285" s="6" t="str">
        <f aca="false">IF(D285&lt;=35,"Yes","No")</f>
        <v>Yes</v>
      </c>
      <c r="I285" s="6"/>
    </row>
    <row r="286" customFormat="false" ht="15" hidden="false" customHeight="false" outlineLevel="0" collapsed="false">
      <c r="A286" s="6" t="s">
        <v>810</v>
      </c>
      <c r="B286" s="6" t="s">
        <v>1853</v>
      </c>
      <c r="C286" s="6" t="n">
        <v>390</v>
      </c>
      <c r="D286" s="6" t="n">
        <v>5</v>
      </c>
      <c r="E286" s="6" t="s">
        <v>700</v>
      </c>
      <c r="F286" s="6" t="s">
        <v>1931</v>
      </c>
      <c r="G286" s="6" t="s">
        <v>648</v>
      </c>
      <c r="H286" s="6" t="str">
        <f aca="false">IF(D286&lt;=35,"Yes","No")</f>
        <v>Yes</v>
      </c>
      <c r="I286" s="6"/>
    </row>
    <row r="287" customFormat="false" ht="15" hidden="false" customHeight="false" outlineLevel="0" collapsed="false">
      <c r="A287" s="6" t="s">
        <v>783</v>
      </c>
      <c r="B287" s="6" t="s">
        <v>198</v>
      </c>
      <c r="C287" s="6" t="n">
        <v>390</v>
      </c>
      <c r="D287" s="6" t="n">
        <v>10</v>
      </c>
      <c r="E287" s="6" t="s">
        <v>784</v>
      </c>
      <c r="F287" s="6" t="s">
        <v>1881</v>
      </c>
      <c r="G287" s="6" t="s">
        <v>648</v>
      </c>
      <c r="H287" s="6" t="str">
        <f aca="false">IF(D287&lt;=35,"Yes","No")</f>
        <v>Yes</v>
      </c>
      <c r="I287" s="6"/>
    </row>
    <row r="288" customFormat="false" ht="15" hidden="false" customHeight="false" outlineLevel="0" collapsed="false">
      <c r="A288" s="6" t="s">
        <v>1231</v>
      </c>
      <c r="B288" s="6" t="s">
        <v>198</v>
      </c>
      <c r="C288" s="6" t="n">
        <v>390</v>
      </c>
      <c r="D288" s="6" t="n">
        <v>18</v>
      </c>
      <c r="E288" s="6" t="s">
        <v>784</v>
      </c>
      <c r="F288" s="6" t="s">
        <v>1884</v>
      </c>
      <c r="G288" s="6" t="s">
        <v>648</v>
      </c>
      <c r="H288" s="6" t="str">
        <f aca="false">IF(D288&lt;=35,"Yes","No")</f>
        <v>Yes</v>
      </c>
      <c r="I288" s="6"/>
    </row>
    <row r="289" customFormat="false" ht="15" hidden="false" customHeight="false" outlineLevel="0" collapsed="false">
      <c r="A289" s="6" t="s">
        <v>1904</v>
      </c>
      <c r="B289" s="6" t="s">
        <v>198</v>
      </c>
      <c r="C289" s="6" t="n">
        <v>390</v>
      </c>
      <c r="D289" s="6" t="n">
        <v>21</v>
      </c>
      <c r="E289" s="6" t="s">
        <v>649</v>
      </c>
      <c r="F289" s="6" t="s">
        <v>1905</v>
      </c>
      <c r="G289" s="6" t="s">
        <v>648</v>
      </c>
      <c r="H289" s="6" t="str">
        <f aca="false">IF(D289&lt;=35,"Yes","No")</f>
        <v>Yes</v>
      </c>
      <c r="I289" s="6"/>
    </row>
    <row r="290" customFormat="false" ht="15" hidden="false" customHeight="false" outlineLevel="0" collapsed="false">
      <c r="A290" s="6" t="s">
        <v>920</v>
      </c>
      <c r="B290" s="6" t="s">
        <v>198</v>
      </c>
      <c r="C290" s="6" t="n">
        <v>390</v>
      </c>
      <c r="D290" s="6" t="n">
        <v>17</v>
      </c>
      <c r="E290" s="6" t="s">
        <v>649</v>
      </c>
      <c r="F290" s="6" t="s">
        <v>1909</v>
      </c>
      <c r="G290" s="6" t="s">
        <v>648</v>
      </c>
      <c r="H290" s="6" t="str">
        <f aca="false">IF(D290&lt;=35,"Yes","No")</f>
        <v>Yes</v>
      </c>
      <c r="I290" s="6"/>
    </row>
    <row r="291" customFormat="false" ht="15" hidden="false" customHeight="false" outlineLevel="0" collapsed="false">
      <c r="A291" s="6" t="s">
        <v>1087</v>
      </c>
      <c r="B291" s="6" t="s">
        <v>198</v>
      </c>
      <c r="C291" s="6" t="n">
        <v>390</v>
      </c>
      <c r="D291" s="6" t="n">
        <v>9</v>
      </c>
      <c r="E291" s="6" t="s">
        <v>649</v>
      </c>
      <c r="F291" s="6" t="s">
        <v>1889</v>
      </c>
      <c r="G291" s="6" t="s">
        <v>648</v>
      </c>
      <c r="H291" s="6" t="str">
        <f aca="false">IF(D291&lt;=35,"Yes","No")</f>
        <v>Yes</v>
      </c>
      <c r="I291" s="6"/>
    </row>
    <row r="292" customFormat="false" ht="15" hidden="false" customHeight="false" outlineLevel="0" collapsed="false">
      <c r="A292" s="6" t="s">
        <v>2065</v>
      </c>
      <c r="B292" s="6" t="s">
        <v>198</v>
      </c>
      <c r="C292" s="6" t="n">
        <v>390</v>
      </c>
      <c r="D292" s="6" t="n">
        <v>0</v>
      </c>
      <c r="E292" s="6" t="s">
        <v>649</v>
      </c>
      <c r="F292" s="6" t="s">
        <v>1963</v>
      </c>
      <c r="G292" s="6" t="s">
        <v>648</v>
      </c>
      <c r="H292" s="6" t="str">
        <f aca="false">IF(D292&lt;=35,"Yes","No")</f>
        <v>Yes</v>
      </c>
      <c r="I292" s="6"/>
    </row>
    <row r="293" customFormat="false" ht="15" hidden="false" customHeight="false" outlineLevel="0" collapsed="false">
      <c r="A293" s="6" t="s">
        <v>869</v>
      </c>
      <c r="B293" s="6" t="s">
        <v>198</v>
      </c>
      <c r="C293" s="6" t="n">
        <v>390</v>
      </c>
      <c r="D293" s="6" t="n">
        <v>4</v>
      </c>
      <c r="E293" s="6" t="s">
        <v>692</v>
      </c>
      <c r="F293" s="6" t="s">
        <v>1899</v>
      </c>
      <c r="G293" s="6" t="s">
        <v>648</v>
      </c>
      <c r="H293" s="6" t="str">
        <f aca="false">IF(D293&lt;=35,"Yes","No")</f>
        <v>Yes</v>
      </c>
      <c r="I293" s="6"/>
    </row>
    <row r="294" customFormat="false" ht="15" hidden="false" customHeight="false" outlineLevel="0" collapsed="false">
      <c r="A294" s="6" t="s">
        <v>1503</v>
      </c>
      <c r="B294" s="6" t="s">
        <v>198</v>
      </c>
      <c r="C294" s="6" t="n">
        <v>390</v>
      </c>
      <c r="D294" s="6" t="n">
        <v>24</v>
      </c>
      <c r="E294" s="6" t="s">
        <v>850</v>
      </c>
      <c r="F294" s="6" t="s">
        <v>1918</v>
      </c>
      <c r="G294" s="6" t="s">
        <v>648</v>
      </c>
      <c r="H294" s="6" t="str">
        <f aca="false">IF(D294&lt;=35,"Yes","No")</f>
        <v>Yes</v>
      </c>
      <c r="I294" s="6"/>
    </row>
    <row r="295" customFormat="false" ht="15" hidden="false" customHeight="false" outlineLevel="0" collapsed="false">
      <c r="A295" s="6" t="s">
        <v>900</v>
      </c>
      <c r="B295" s="6" t="s">
        <v>198</v>
      </c>
      <c r="C295" s="6" t="n">
        <v>390</v>
      </c>
      <c r="D295" s="6" t="n">
        <v>6</v>
      </c>
      <c r="E295" s="6" t="s">
        <v>700</v>
      </c>
      <c r="F295" s="6" t="s">
        <v>1925</v>
      </c>
      <c r="G295" s="6" t="s">
        <v>648</v>
      </c>
      <c r="H295" s="6" t="str">
        <f aca="false">IF(D295&lt;=35,"Yes","No")</f>
        <v>Yes</v>
      </c>
      <c r="I295" s="6"/>
    </row>
    <row r="296" customFormat="false" ht="15" hidden="false" customHeight="false" outlineLevel="0" collapsed="false">
      <c r="A296" s="6" t="s">
        <v>1338</v>
      </c>
      <c r="B296" s="6" t="s">
        <v>198</v>
      </c>
      <c r="C296" s="6" t="n">
        <v>390</v>
      </c>
      <c r="D296" s="6" t="n">
        <v>13</v>
      </c>
      <c r="E296" s="6" t="s">
        <v>700</v>
      </c>
      <c r="F296" s="6" t="s">
        <v>1861</v>
      </c>
      <c r="G296" s="6" t="s">
        <v>648</v>
      </c>
      <c r="H296" s="6" t="str">
        <f aca="false">IF(D296&lt;=35,"Yes","No")</f>
        <v>Yes</v>
      </c>
      <c r="I296" s="6"/>
    </row>
    <row r="297" customFormat="false" ht="15" hidden="false" customHeight="false" outlineLevel="0" collapsed="false">
      <c r="A297" s="6" t="s">
        <v>1341</v>
      </c>
      <c r="B297" s="6" t="s">
        <v>1853</v>
      </c>
      <c r="C297" s="6" t="n">
        <v>390</v>
      </c>
      <c r="D297" s="6" t="n">
        <v>13</v>
      </c>
      <c r="E297" s="6" t="s">
        <v>642</v>
      </c>
      <c r="F297" s="6" t="s">
        <v>2066</v>
      </c>
      <c r="G297" s="6" t="s">
        <v>627</v>
      </c>
      <c r="H297" s="6" t="str">
        <f aca="false">IF(D297&lt;=35,"Yes","No")</f>
        <v>Yes</v>
      </c>
      <c r="I297" s="6"/>
    </row>
    <row r="298" customFormat="false" ht="15" hidden="false" customHeight="false" outlineLevel="0" collapsed="false">
      <c r="A298" s="6" t="s">
        <v>1439</v>
      </c>
      <c r="B298" s="6" t="s">
        <v>1853</v>
      </c>
      <c r="C298" s="6" t="n">
        <v>390</v>
      </c>
      <c r="D298" s="6" t="n">
        <v>19</v>
      </c>
      <c r="E298" s="6" t="s">
        <v>738</v>
      </c>
      <c r="F298" s="6" t="s">
        <v>2067</v>
      </c>
      <c r="G298" s="6" t="s">
        <v>627</v>
      </c>
      <c r="H298" s="6" t="str">
        <f aca="false">IF(D298&lt;=35,"Yes","No")</f>
        <v>Yes</v>
      </c>
      <c r="I298" s="6"/>
    </row>
    <row r="299" customFormat="false" ht="15" hidden="false" customHeight="false" outlineLevel="0" collapsed="false">
      <c r="A299" s="6" t="s">
        <v>803</v>
      </c>
      <c r="B299" s="6" t="s">
        <v>1853</v>
      </c>
      <c r="C299" s="6" t="n">
        <v>390</v>
      </c>
      <c r="D299" s="6" t="n">
        <v>7</v>
      </c>
      <c r="E299" s="6" t="s">
        <v>738</v>
      </c>
      <c r="F299" s="6" t="s">
        <v>1997</v>
      </c>
      <c r="G299" s="6" t="s">
        <v>627</v>
      </c>
      <c r="H299" s="6" t="str">
        <f aca="false">IF(D299&lt;=35,"Yes","No")</f>
        <v>Yes</v>
      </c>
      <c r="I299" s="6"/>
    </row>
    <row r="300" customFormat="false" ht="15" hidden="false" customHeight="false" outlineLevel="0" collapsed="false">
      <c r="A300" s="6" t="s">
        <v>1443</v>
      </c>
      <c r="B300" s="6" t="s">
        <v>1853</v>
      </c>
      <c r="C300" s="6" t="n">
        <v>390</v>
      </c>
      <c r="D300" s="6" t="n">
        <v>19</v>
      </c>
      <c r="E300" s="6" t="s">
        <v>738</v>
      </c>
      <c r="F300" s="6" t="s">
        <v>2068</v>
      </c>
      <c r="G300" s="6" t="s">
        <v>627</v>
      </c>
      <c r="H300" s="6" t="str">
        <f aca="false">IF(D300&lt;=35,"Yes","No")</f>
        <v>Yes</v>
      </c>
      <c r="I300" s="6"/>
    </row>
    <row r="301" customFormat="false" ht="15" hidden="false" customHeight="false" outlineLevel="0" collapsed="false">
      <c r="A301" s="6" t="s">
        <v>846</v>
      </c>
      <c r="B301" s="6" t="s">
        <v>1853</v>
      </c>
      <c r="C301" s="6" t="n">
        <v>390</v>
      </c>
      <c r="D301" s="6" t="n">
        <v>20</v>
      </c>
      <c r="E301" s="6" t="s">
        <v>738</v>
      </c>
      <c r="F301" s="6" t="s">
        <v>1948</v>
      </c>
      <c r="G301" s="6" t="s">
        <v>627</v>
      </c>
      <c r="H301" s="6" t="str">
        <f aca="false">IF(D301&lt;=35,"Yes","No")</f>
        <v>Yes</v>
      </c>
      <c r="I301" s="6"/>
    </row>
    <row r="302" customFormat="false" ht="15" hidden="false" customHeight="false" outlineLevel="0" collapsed="false">
      <c r="A302" s="6" t="s">
        <v>1459</v>
      </c>
      <c r="B302" s="6" t="s">
        <v>1853</v>
      </c>
      <c r="C302" s="6" t="n">
        <v>390</v>
      </c>
      <c r="D302" s="6" t="n">
        <v>20</v>
      </c>
      <c r="E302" s="6" t="s">
        <v>738</v>
      </c>
      <c r="F302" s="6" t="s">
        <v>2069</v>
      </c>
      <c r="G302" s="6" t="s">
        <v>627</v>
      </c>
      <c r="H302" s="6" t="str">
        <f aca="false">IF(D302&lt;=35,"Yes","No")</f>
        <v>Yes</v>
      </c>
      <c r="I302" s="6"/>
    </row>
    <row r="303" customFormat="false" ht="15" hidden="false" customHeight="false" outlineLevel="0" collapsed="false">
      <c r="A303" s="6" t="s">
        <v>1162</v>
      </c>
      <c r="B303" s="6" t="s">
        <v>198</v>
      </c>
      <c r="C303" s="6" t="n">
        <v>390</v>
      </c>
      <c r="D303" s="6" t="n">
        <v>6</v>
      </c>
      <c r="E303" s="6" t="s">
        <v>642</v>
      </c>
      <c r="F303" s="6" t="s">
        <v>1885</v>
      </c>
      <c r="G303" s="6" t="s">
        <v>627</v>
      </c>
      <c r="H303" s="6" t="str">
        <f aca="false">IF(D303&lt;=35,"Yes","No")</f>
        <v>Yes</v>
      </c>
      <c r="I303" s="6"/>
    </row>
    <row r="304" customFormat="false" ht="15" hidden="false" customHeight="false" outlineLevel="0" collapsed="false">
      <c r="A304" s="6" t="s">
        <v>1126</v>
      </c>
      <c r="B304" s="6" t="s">
        <v>198</v>
      </c>
      <c r="C304" s="6" t="n">
        <v>390</v>
      </c>
      <c r="D304" s="6" t="n">
        <v>12</v>
      </c>
      <c r="E304" s="6" t="s">
        <v>642</v>
      </c>
      <c r="F304" s="6" t="s">
        <v>1931</v>
      </c>
      <c r="G304" s="6" t="s">
        <v>627</v>
      </c>
      <c r="H304" s="6" t="str">
        <f aca="false">IF(D304&lt;=35,"Yes","No")</f>
        <v>Yes</v>
      </c>
      <c r="I304" s="6"/>
    </row>
    <row r="305" customFormat="false" ht="15" hidden="false" customHeight="false" outlineLevel="0" collapsed="false">
      <c r="A305" s="6" t="s">
        <v>1041</v>
      </c>
      <c r="B305" s="6" t="s">
        <v>1853</v>
      </c>
      <c r="C305" s="6" t="n">
        <v>390</v>
      </c>
      <c r="D305" s="6" t="n">
        <v>11</v>
      </c>
      <c r="E305" s="6" t="s">
        <v>1042</v>
      </c>
      <c r="F305" s="6" t="s">
        <v>1876</v>
      </c>
      <c r="G305" s="6" t="s">
        <v>648</v>
      </c>
      <c r="H305" s="6" t="str">
        <f aca="false">IF(D305&lt;=35,"Yes","No")</f>
        <v>Yes</v>
      </c>
      <c r="I305" s="6"/>
    </row>
    <row r="306" customFormat="false" ht="15" hidden="false" customHeight="false" outlineLevel="0" collapsed="false">
      <c r="A306" s="6" t="s">
        <v>1234</v>
      </c>
      <c r="B306" s="6" t="s">
        <v>1853</v>
      </c>
      <c r="C306" s="6" t="n">
        <v>390</v>
      </c>
      <c r="D306" s="6" t="n">
        <v>10</v>
      </c>
      <c r="E306" s="6" t="s">
        <v>2070</v>
      </c>
      <c r="F306" s="6" t="s">
        <v>1882</v>
      </c>
      <c r="G306" s="6" t="s">
        <v>648</v>
      </c>
      <c r="H306" s="6" t="str">
        <f aca="false">IF(D306&lt;=35,"Yes","No")</f>
        <v>Yes</v>
      </c>
      <c r="I306" s="6"/>
    </row>
    <row r="307" customFormat="false" ht="15" hidden="false" customHeight="false" outlineLevel="0" collapsed="false">
      <c r="A307" s="6" t="s">
        <v>842</v>
      </c>
      <c r="B307" s="6" t="s">
        <v>1853</v>
      </c>
      <c r="C307" s="6" t="n">
        <v>390</v>
      </c>
      <c r="D307" s="6" t="n">
        <v>8</v>
      </c>
      <c r="E307" s="6" t="s">
        <v>649</v>
      </c>
      <c r="F307" s="6" t="s">
        <v>2071</v>
      </c>
      <c r="G307" s="6" t="s">
        <v>648</v>
      </c>
      <c r="H307" s="6" t="str">
        <f aca="false">IF(D307&lt;=35,"Yes","No")</f>
        <v>Yes</v>
      </c>
      <c r="I307" s="6"/>
    </row>
    <row r="308" customFormat="false" ht="15" hidden="false" customHeight="false" outlineLevel="0" collapsed="false">
      <c r="A308" s="6" t="s">
        <v>1129</v>
      </c>
      <c r="B308" s="6" t="s">
        <v>1853</v>
      </c>
      <c r="C308" s="6" t="n">
        <v>390</v>
      </c>
      <c r="D308" s="6" t="n">
        <v>6</v>
      </c>
      <c r="E308" s="6" t="s">
        <v>2072</v>
      </c>
      <c r="F308" s="6" t="s">
        <v>1882</v>
      </c>
      <c r="G308" s="6" t="s">
        <v>648</v>
      </c>
      <c r="H308" s="6" t="str">
        <f aca="false">IF(D308&lt;=35,"Yes","No")</f>
        <v>Yes</v>
      </c>
      <c r="I308" s="6"/>
    </row>
    <row r="309" customFormat="false" ht="15" hidden="false" customHeight="false" outlineLevel="0" collapsed="false">
      <c r="A309" s="6" t="s">
        <v>787</v>
      </c>
      <c r="B309" s="6" t="s">
        <v>1853</v>
      </c>
      <c r="C309" s="6" t="n">
        <v>390</v>
      </c>
      <c r="D309" s="6" t="n">
        <v>8</v>
      </c>
      <c r="E309" s="6" t="s">
        <v>2053</v>
      </c>
      <c r="F309" s="6" t="s">
        <v>2054</v>
      </c>
      <c r="G309" s="6" t="s">
        <v>648</v>
      </c>
      <c r="H309" s="6" t="str">
        <f aca="false">IF(D309&lt;=35,"Yes","No")</f>
        <v>Yes</v>
      </c>
      <c r="I309" s="6"/>
    </row>
    <row r="310" customFormat="false" ht="15" hidden="false" customHeight="false" outlineLevel="0" collapsed="false">
      <c r="A310" s="6" t="s">
        <v>945</v>
      </c>
      <c r="B310" s="6" t="s">
        <v>1853</v>
      </c>
      <c r="C310" s="6" t="n">
        <v>390</v>
      </c>
      <c r="D310" s="6" t="n">
        <v>6</v>
      </c>
      <c r="E310" s="6" t="s">
        <v>946</v>
      </c>
      <c r="F310" s="6" t="s">
        <v>1931</v>
      </c>
      <c r="G310" s="6" t="s">
        <v>648</v>
      </c>
      <c r="H310" s="6" t="str">
        <f aca="false">IF(D310&lt;=35,"Yes","No")</f>
        <v>Yes</v>
      </c>
      <c r="I310" s="6"/>
    </row>
    <row r="311" customFormat="false" ht="15" hidden="false" customHeight="false" outlineLevel="0" collapsed="false">
      <c r="A311" s="6" t="s">
        <v>756</v>
      </c>
      <c r="B311" s="6" t="s">
        <v>1853</v>
      </c>
      <c r="C311" s="6" t="n">
        <v>390</v>
      </c>
      <c r="D311" s="6" t="n">
        <v>12</v>
      </c>
      <c r="E311" s="6" t="s">
        <v>755</v>
      </c>
      <c r="F311" s="6" t="s">
        <v>2061</v>
      </c>
      <c r="G311" s="6" t="s">
        <v>648</v>
      </c>
      <c r="H311" s="6" t="str">
        <f aca="false">IF(D311&lt;=35,"Yes","No")</f>
        <v>Yes</v>
      </c>
      <c r="I311" s="6"/>
    </row>
    <row r="312" customFormat="false" ht="15" hidden="false" customHeight="false" outlineLevel="0" collapsed="false">
      <c r="A312" s="6" t="s">
        <v>1446</v>
      </c>
      <c r="B312" s="6" t="s">
        <v>1853</v>
      </c>
      <c r="C312" s="6" t="n">
        <v>390</v>
      </c>
      <c r="D312" s="6" t="n">
        <v>19</v>
      </c>
      <c r="E312" s="6" t="s">
        <v>700</v>
      </c>
      <c r="F312" s="6" t="s">
        <v>2073</v>
      </c>
      <c r="G312" s="6" t="s">
        <v>648</v>
      </c>
      <c r="H312" s="6" t="str">
        <f aca="false">IF(D312&lt;=35,"Yes","No")</f>
        <v>Yes</v>
      </c>
      <c r="I312" s="6"/>
    </row>
    <row r="313" customFormat="false" ht="15" hidden="false" customHeight="false" outlineLevel="0" collapsed="false">
      <c r="A313" s="6" t="s">
        <v>842</v>
      </c>
      <c r="B313" s="6" t="s">
        <v>198</v>
      </c>
      <c r="C313" s="6" t="n">
        <v>390</v>
      </c>
      <c r="D313" s="6" t="n">
        <v>7</v>
      </c>
      <c r="E313" s="6" t="s">
        <v>649</v>
      </c>
      <c r="F313" s="6" t="s">
        <v>2071</v>
      </c>
      <c r="G313" s="6" t="s">
        <v>648</v>
      </c>
      <c r="H313" s="6" t="str">
        <f aca="false">IF(D313&lt;=35,"Yes","No")</f>
        <v>Yes</v>
      </c>
      <c r="I313" s="6"/>
    </row>
    <row r="314" customFormat="false" ht="15" hidden="false" customHeight="false" outlineLevel="0" collapsed="false">
      <c r="A314" s="6" t="s">
        <v>725</v>
      </c>
      <c r="B314" s="6" t="s">
        <v>1853</v>
      </c>
      <c r="C314" s="6" t="n">
        <v>390</v>
      </c>
      <c r="D314" s="6" t="n">
        <v>13</v>
      </c>
      <c r="E314" s="6" t="s">
        <v>649</v>
      </c>
      <c r="F314" s="6" t="s">
        <v>1895</v>
      </c>
      <c r="G314" s="6" t="s">
        <v>648</v>
      </c>
      <c r="H314" s="6" t="str">
        <f aca="false">IF(D314&lt;=35,"Yes","No")</f>
        <v>Yes</v>
      </c>
      <c r="I314" s="6"/>
    </row>
    <row r="315" customFormat="false" ht="15" hidden="false" customHeight="false" outlineLevel="0" collapsed="false">
      <c r="A315" s="6" t="s">
        <v>69</v>
      </c>
      <c r="B315" s="6" t="s">
        <v>1853</v>
      </c>
      <c r="C315" s="6" t="n">
        <v>390</v>
      </c>
      <c r="D315" s="6" t="n">
        <v>11</v>
      </c>
      <c r="E315" s="6" t="s">
        <v>649</v>
      </c>
      <c r="F315" s="6" t="s">
        <v>1911</v>
      </c>
      <c r="G315" s="6" t="s">
        <v>648</v>
      </c>
      <c r="H315" s="6" t="str">
        <f aca="false">IF(D315&lt;=35,"Yes","No")</f>
        <v>Yes</v>
      </c>
      <c r="I315" s="6"/>
    </row>
    <row r="316" customFormat="false" ht="15" hidden="false" customHeight="false" outlineLevel="0" collapsed="false">
      <c r="A316" s="6" t="s">
        <v>992</v>
      </c>
      <c r="B316" s="6" t="s">
        <v>1853</v>
      </c>
      <c r="C316" s="6" t="n">
        <v>390</v>
      </c>
      <c r="D316" s="6" t="n">
        <v>11</v>
      </c>
      <c r="E316" s="6" t="s">
        <v>796</v>
      </c>
      <c r="F316" s="6" t="s">
        <v>2028</v>
      </c>
      <c r="G316" s="6" t="s">
        <v>648</v>
      </c>
      <c r="H316" s="6" t="str">
        <f aca="false">IF(D316&lt;=35,"Yes","No")</f>
        <v>Yes</v>
      </c>
      <c r="I316" s="6"/>
    </row>
    <row r="317" customFormat="false" ht="15" hidden="false" customHeight="false" outlineLevel="0" collapsed="false">
      <c r="A317" s="6" t="s">
        <v>760</v>
      </c>
      <c r="B317" s="6" t="s">
        <v>1853</v>
      </c>
      <c r="C317" s="6" t="n">
        <v>390</v>
      </c>
      <c r="D317" s="6" t="n">
        <v>12</v>
      </c>
      <c r="E317" s="6" t="s">
        <v>642</v>
      </c>
      <c r="F317" s="6" t="s">
        <v>1996</v>
      </c>
      <c r="G317" s="6" t="s">
        <v>627</v>
      </c>
      <c r="H317" s="6" t="str">
        <f aca="false">IF(D317&lt;=35,"Yes","No")</f>
        <v>Yes</v>
      </c>
      <c r="I317" s="6"/>
    </row>
    <row r="318" customFormat="false" ht="15" hidden="false" customHeight="false" outlineLevel="0" collapsed="false">
      <c r="A318" s="6" t="s">
        <v>1523</v>
      </c>
      <c r="B318" s="6" t="s">
        <v>1853</v>
      </c>
      <c r="C318" s="6" t="n">
        <v>390</v>
      </c>
      <c r="D318" s="6" t="n">
        <v>26</v>
      </c>
      <c r="E318" s="6" t="s">
        <v>642</v>
      </c>
      <c r="F318" s="6" t="s">
        <v>1905</v>
      </c>
      <c r="G318" s="6" t="s">
        <v>627</v>
      </c>
      <c r="H318" s="6" t="str">
        <f aca="false">IF(D318&lt;=35,"Yes","No")</f>
        <v>Yes</v>
      </c>
      <c r="I318" s="6"/>
    </row>
    <row r="319" customFormat="false" ht="15" hidden="false" customHeight="false" outlineLevel="0" collapsed="false">
      <c r="A319" s="6" t="s">
        <v>858</v>
      </c>
      <c r="B319" s="6" t="s">
        <v>1853</v>
      </c>
      <c r="C319" s="6" t="n">
        <v>390</v>
      </c>
      <c r="D319" s="6" t="n">
        <v>9</v>
      </c>
      <c r="E319" s="6" t="s">
        <v>859</v>
      </c>
      <c r="F319" s="6" t="s">
        <v>2038</v>
      </c>
      <c r="G319" s="6" t="s">
        <v>627</v>
      </c>
      <c r="H319" s="6" t="str">
        <f aca="false">IF(D319&lt;=35,"Yes","No")</f>
        <v>Yes</v>
      </c>
      <c r="I319" s="6"/>
    </row>
    <row r="320" customFormat="false" ht="15" hidden="false" customHeight="false" outlineLevel="0" collapsed="false">
      <c r="A320" s="6" t="s">
        <v>2074</v>
      </c>
      <c r="B320" s="6" t="s">
        <v>198</v>
      </c>
      <c r="C320" s="6" t="n">
        <v>390</v>
      </c>
      <c r="D320" s="6" t="n">
        <v>17</v>
      </c>
      <c r="E320" s="6" t="s">
        <v>649</v>
      </c>
      <c r="F320" s="6" t="s">
        <v>1897</v>
      </c>
      <c r="G320" s="6" t="s">
        <v>648</v>
      </c>
      <c r="H320" s="6" t="str">
        <f aca="false">IF(D320&lt;=35,"Yes","No")</f>
        <v>Yes</v>
      </c>
      <c r="I320" s="6"/>
    </row>
    <row r="321" customFormat="false" ht="15" hidden="false" customHeight="false" outlineLevel="0" collapsed="false">
      <c r="A321" s="6" t="s">
        <v>69</v>
      </c>
      <c r="B321" s="6" t="s">
        <v>198</v>
      </c>
      <c r="C321" s="6" t="n">
        <v>390</v>
      </c>
      <c r="D321" s="6" t="n">
        <v>0</v>
      </c>
      <c r="E321" s="6" t="s">
        <v>649</v>
      </c>
      <c r="F321" s="6" t="s">
        <v>1911</v>
      </c>
      <c r="G321" s="6" t="s">
        <v>648</v>
      </c>
      <c r="H321" s="6" t="str">
        <f aca="false">IF(D321&lt;=35,"Yes","No")</f>
        <v>Yes</v>
      </c>
      <c r="I321" s="6"/>
    </row>
    <row r="322" customFormat="false" ht="15" hidden="false" customHeight="false" outlineLevel="0" collapsed="false">
      <c r="A322" s="6" t="s">
        <v>1019</v>
      </c>
      <c r="B322" s="6" t="s">
        <v>198</v>
      </c>
      <c r="C322" s="6" t="n">
        <v>390</v>
      </c>
      <c r="D322" s="6" t="n">
        <v>7</v>
      </c>
      <c r="E322" s="6" t="s">
        <v>642</v>
      </c>
      <c r="F322" s="6" t="s">
        <v>2075</v>
      </c>
      <c r="G322" s="6" t="s">
        <v>627</v>
      </c>
      <c r="H322" s="6" t="str">
        <f aca="false">IF(D322&lt;=35,"Yes","No")</f>
        <v>Yes</v>
      </c>
      <c r="I322" s="6"/>
    </row>
    <row r="323" customFormat="false" ht="15" hidden="false" customHeight="false" outlineLevel="0" collapsed="false">
      <c r="A323" s="6" t="s">
        <v>1168</v>
      </c>
      <c r="B323" s="6" t="s">
        <v>198</v>
      </c>
      <c r="C323" s="6" t="n">
        <v>390</v>
      </c>
      <c r="D323" s="6" t="n">
        <v>5</v>
      </c>
      <c r="E323" s="6" t="s">
        <v>642</v>
      </c>
      <c r="F323" s="6" t="s">
        <v>2076</v>
      </c>
      <c r="G323" s="6" t="s">
        <v>627</v>
      </c>
      <c r="H323" s="6" t="str">
        <f aca="false">IF(D323&lt;=35,"Yes","No")</f>
        <v>Yes</v>
      </c>
      <c r="I323" s="6"/>
    </row>
    <row r="324" customFormat="false" ht="15" hidden="false" customHeight="false" outlineLevel="0" collapsed="false">
      <c r="A324" s="6" t="s">
        <v>769</v>
      </c>
      <c r="B324" s="6" t="s">
        <v>198</v>
      </c>
      <c r="C324" s="6" t="n">
        <v>390</v>
      </c>
      <c r="D324" s="6" t="n">
        <v>6</v>
      </c>
      <c r="E324" s="6" t="s">
        <v>642</v>
      </c>
      <c r="F324" s="6" t="s">
        <v>2037</v>
      </c>
      <c r="G324" s="6" t="s">
        <v>627</v>
      </c>
      <c r="H324" s="6" t="str">
        <f aca="false">IF(D324&lt;=35,"Yes","No")</f>
        <v>Yes</v>
      </c>
      <c r="I324" s="6"/>
    </row>
    <row r="325" customFormat="false" ht="15" hidden="false" customHeight="false" outlineLevel="0" collapsed="false">
      <c r="A325" s="6" t="s">
        <v>1402</v>
      </c>
      <c r="B325" s="6" t="s">
        <v>1853</v>
      </c>
      <c r="C325" s="6" t="n">
        <v>370</v>
      </c>
      <c r="D325" s="6" t="n">
        <v>15</v>
      </c>
      <c r="E325" s="6" t="s">
        <v>649</v>
      </c>
      <c r="F325" s="6" t="s">
        <v>2077</v>
      </c>
      <c r="G325" s="6" t="s">
        <v>648</v>
      </c>
      <c r="H325" s="6" t="str">
        <f aca="false">IF(D325&lt;=35,"Yes","No")</f>
        <v>Yes</v>
      </c>
      <c r="I325" s="6"/>
    </row>
    <row r="326" customFormat="false" ht="15" hidden="false" customHeight="false" outlineLevel="0" collapsed="false">
      <c r="A326" s="6" t="s">
        <v>2078</v>
      </c>
      <c r="B326" s="6" t="s">
        <v>1853</v>
      </c>
      <c r="C326" s="6" t="n">
        <v>330</v>
      </c>
      <c r="D326" s="6" t="n">
        <v>20</v>
      </c>
      <c r="E326" s="6" t="s">
        <v>649</v>
      </c>
      <c r="F326" s="6" t="s">
        <v>1994</v>
      </c>
      <c r="G326" s="6" t="s">
        <v>648</v>
      </c>
      <c r="H326" s="6" t="str">
        <f aca="false">IF(D326&lt;=35,"Yes","No")</f>
        <v>Yes</v>
      </c>
      <c r="I326" s="6"/>
    </row>
    <row r="327" customFormat="false" ht="15" hidden="false" customHeight="false" outlineLevel="0" collapsed="false">
      <c r="A327" s="6" t="s">
        <v>1627</v>
      </c>
      <c r="B327" s="6" t="s">
        <v>1853</v>
      </c>
      <c r="C327" s="6" t="n">
        <v>320</v>
      </c>
      <c r="D327" s="6" t="n">
        <v>28</v>
      </c>
      <c r="E327" s="6" t="s">
        <v>784</v>
      </c>
      <c r="F327" s="6" t="s">
        <v>1891</v>
      </c>
      <c r="G327" s="6" t="s">
        <v>648</v>
      </c>
      <c r="H327" s="6" t="str">
        <f aca="false">IF(D327&lt;=35,"Yes","No")</f>
        <v>Yes</v>
      </c>
      <c r="I327" s="6"/>
    </row>
    <row r="328" customFormat="false" ht="15" hidden="false" customHeight="false" outlineLevel="0" collapsed="false">
      <c r="A328" s="6" t="s">
        <v>1348</v>
      </c>
      <c r="B328" s="6" t="s">
        <v>1853</v>
      </c>
      <c r="C328" s="6" t="n">
        <v>320</v>
      </c>
      <c r="D328" s="6" t="n">
        <v>9</v>
      </c>
      <c r="E328" s="6" t="s">
        <v>784</v>
      </c>
      <c r="F328" s="6" t="s">
        <v>1963</v>
      </c>
      <c r="G328" s="6" t="s">
        <v>648</v>
      </c>
      <c r="H328" s="6" t="str">
        <f aca="false">IF(D328&lt;=35,"Yes","No")</f>
        <v>Yes</v>
      </c>
      <c r="I328" s="6"/>
    </row>
    <row r="329" customFormat="false" ht="15" hidden="false" customHeight="false" outlineLevel="0" collapsed="false">
      <c r="A329" s="6" t="s">
        <v>2079</v>
      </c>
      <c r="B329" s="6" t="s">
        <v>1853</v>
      </c>
      <c r="C329" s="6" t="n">
        <v>320</v>
      </c>
      <c r="D329" s="6" t="n">
        <v>8</v>
      </c>
      <c r="E329" s="6" t="s">
        <v>649</v>
      </c>
      <c r="F329" s="6" t="s">
        <v>1963</v>
      </c>
      <c r="G329" s="6" t="s">
        <v>648</v>
      </c>
      <c r="H329" s="6" t="str">
        <f aca="false">IF(D329&lt;=35,"Yes","No")</f>
        <v>Yes</v>
      </c>
      <c r="I329" s="6"/>
    </row>
    <row r="330" customFormat="false" ht="15" hidden="false" customHeight="false" outlineLevel="0" collapsed="false">
      <c r="A330" s="6" t="s">
        <v>1379</v>
      </c>
      <c r="B330" s="6" t="s">
        <v>1853</v>
      </c>
      <c r="C330" s="6" t="n">
        <v>320</v>
      </c>
      <c r="D330" s="6" t="n">
        <v>11</v>
      </c>
      <c r="E330" s="6" t="s">
        <v>649</v>
      </c>
      <c r="F330" s="6" t="s">
        <v>2028</v>
      </c>
      <c r="G330" s="6" t="s">
        <v>648</v>
      </c>
      <c r="H330" s="6" t="str">
        <f aca="false">IF(D330&lt;=35,"Yes","No")</f>
        <v>Yes</v>
      </c>
      <c r="I330" s="6"/>
    </row>
    <row r="331" customFormat="false" ht="15" hidden="false" customHeight="false" outlineLevel="0" collapsed="false">
      <c r="A331" s="6" t="s">
        <v>2080</v>
      </c>
      <c r="B331" s="6" t="s">
        <v>1853</v>
      </c>
      <c r="C331" s="6" t="n">
        <v>320</v>
      </c>
      <c r="D331" s="6" t="n">
        <v>5</v>
      </c>
      <c r="E331" s="6" t="s">
        <v>649</v>
      </c>
      <c r="F331" s="6" t="s">
        <v>1884</v>
      </c>
      <c r="G331" s="6" t="s">
        <v>648</v>
      </c>
      <c r="H331" s="6" t="str">
        <f aca="false">IF(D331&lt;=35,"Yes","No")</f>
        <v>Yes</v>
      </c>
      <c r="I331" s="6"/>
    </row>
    <row r="332" customFormat="false" ht="15" hidden="false" customHeight="false" outlineLevel="0" collapsed="false">
      <c r="A332" s="6" t="s">
        <v>998</v>
      </c>
      <c r="B332" s="6" t="s">
        <v>1853</v>
      </c>
      <c r="C332" s="6" t="n">
        <v>320</v>
      </c>
      <c r="D332" s="6" t="n">
        <v>27</v>
      </c>
      <c r="E332" s="6" t="s">
        <v>649</v>
      </c>
      <c r="F332" s="6" t="s">
        <v>1938</v>
      </c>
      <c r="G332" s="6" t="s">
        <v>648</v>
      </c>
      <c r="H332" s="6" t="str">
        <f aca="false">IF(D332&lt;=35,"Yes","No")</f>
        <v>Yes</v>
      </c>
      <c r="I332" s="6"/>
    </row>
    <row r="333" customFormat="false" ht="15" hidden="false" customHeight="false" outlineLevel="0" collapsed="false">
      <c r="A333" s="6" t="s">
        <v>123</v>
      </c>
      <c r="B333" s="6" t="s">
        <v>1853</v>
      </c>
      <c r="C333" s="6" t="n">
        <v>320</v>
      </c>
      <c r="D333" s="6" t="n">
        <v>7</v>
      </c>
      <c r="E333" s="6" t="s">
        <v>649</v>
      </c>
      <c r="F333" s="6" t="s">
        <v>1899</v>
      </c>
      <c r="G333" s="6" t="s">
        <v>648</v>
      </c>
      <c r="H333" s="6" t="str">
        <f aca="false">IF(D333&lt;=35,"Yes","No")</f>
        <v>Yes</v>
      </c>
      <c r="I333" s="6"/>
    </row>
    <row r="334" customFormat="false" ht="15" hidden="false" customHeight="false" outlineLevel="0" collapsed="false">
      <c r="A334" s="6" t="s">
        <v>973</v>
      </c>
      <c r="B334" s="6" t="s">
        <v>1853</v>
      </c>
      <c r="C334" s="6" t="n">
        <v>320</v>
      </c>
      <c r="D334" s="6" t="n">
        <v>5</v>
      </c>
      <c r="E334" s="6" t="s">
        <v>700</v>
      </c>
      <c r="F334" s="6" t="s">
        <v>1988</v>
      </c>
      <c r="G334" s="6" t="s">
        <v>648</v>
      </c>
      <c r="H334" s="6" t="str">
        <f aca="false">IF(D334&lt;=35,"Yes","No")</f>
        <v>Yes</v>
      </c>
      <c r="I334" s="6"/>
    </row>
    <row r="335" customFormat="false" ht="15" hidden="false" customHeight="false" outlineLevel="0" collapsed="false">
      <c r="A335" s="6" t="s">
        <v>1202</v>
      </c>
      <c r="B335" s="6" t="s">
        <v>1853</v>
      </c>
      <c r="C335" s="6" t="n">
        <v>320</v>
      </c>
      <c r="D335" s="6" t="n">
        <v>6</v>
      </c>
      <c r="E335" s="6" t="s">
        <v>692</v>
      </c>
      <c r="F335" s="6" t="s">
        <v>1988</v>
      </c>
      <c r="G335" s="6" t="s">
        <v>648</v>
      </c>
      <c r="H335" s="6" t="str">
        <f aca="false">IF(D335&lt;=35,"Yes","No")</f>
        <v>Yes</v>
      </c>
      <c r="I335" s="6"/>
    </row>
    <row r="336" customFormat="false" ht="15" hidden="false" customHeight="false" outlineLevel="0" collapsed="false">
      <c r="A336" s="6" t="s">
        <v>1314</v>
      </c>
      <c r="B336" s="6" t="s">
        <v>1853</v>
      </c>
      <c r="C336" s="6" t="n">
        <v>320</v>
      </c>
      <c r="D336" s="6" t="n">
        <v>8</v>
      </c>
      <c r="E336" s="6" t="s">
        <v>700</v>
      </c>
      <c r="F336" s="6" t="s">
        <v>1899</v>
      </c>
      <c r="G336" s="6" t="s">
        <v>648</v>
      </c>
      <c r="H336" s="6" t="str">
        <f aca="false">IF(D336&lt;=35,"Yes","No")</f>
        <v>Yes</v>
      </c>
      <c r="I336" s="6"/>
    </row>
    <row r="337" customFormat="false" ht="15" hidden="false" customHeight="false" outlineLevel="0" collapsed="false">
      <c r="A337" s="6" t="s">
        <v>1191</v>
      </c>
      <c r="B337" s="6" t="s">
        <v>198</v>
      </c>
      <c r="C337" s="6" t="n">
        <v>320</v>
      </c>
      <c r="D337" s="6" t="n">
        <v>14</v>
      </c>
      <c r="E337" s="6" t="s">
        <v>784</v>
      </c>
      <c r="F337" s="6" t="s">
        <v>1895</v>
      </c>
      <c r="G337" s="6" t="s">
        <v>648</v>
      </c>
      <c r="H337" s="6" t="str">
        <f aca="false">IF(D337&lt;=35,"Yes","No")</f>
        <v>Yes</v>
      </c>
      <c r="I337" s="6"/>
    </row>
    <row r="338" customFormat="false" ht="15" hidden="false" customHeight="false" outlineLevel="0" collapsed="false">
      <c r="A338" s="6" t="s">
        <v>1873</v>
      </c>
      <c r="B338" s="6" t="s">
        <v>198</v>
      </c>
      <c r="C338" s="6" t="n">
        <v>320</v>
      </c>
      <c r="D338" s="6" t="n">
        <v>23</v>
      </c>
      <c r="E338" s="6" t="s">
        <v>649</v>
      </c>
      <c r="F338" s="6" t="s">
        <v>1861</v>
      </c>
      <c r="G338" s="6" t="s">
        <v>648</v>
      </c>
      <c r="H338" s="6" t="str">
        <f aca="false">IF(D338&lt;=35,"Yes","No")</f>
        <v>Yes</v>
      </c>
      <c r="I338" s="6"/>
    </row>
    <row r="339" customFormat="false" ht="15" hidden="false" customHeight="false" outlineLevel="0" collapsed="false">
      <c r="A339" s="6" t="s">
        <v>1303</v>
      </c>
      <c r="B339" s="6" t="s">
        <v>198</v>
      </c>
      <c r="C339" s="6" t="n">
        <v>320</v>
      </c>
      <c r="D339" s="6" t="n">
        <v>17</v>
      </c>
      <c r="E339" s="6" t="s">
        <v>649</v>
      </c>
      <c r="F339" s="6" t="s">
        <v>2066</v>
      </c>
      <c r="G339" s="6" t="s">
        <v>648</v>
      </c>
      <c r="H339" s="6" t="str">
        <f aca="false">IF(D339&lt;=35,"Yes","No")</f>
        <v>Yes</v>
      </c>
      <c r="I339" s="6"/>
    </row>
    <row r="340" customFormat="false" ht="15" hidden="false" customHeight="false" outlineLevel="0" collapsed="false">
      <c r="A340" s="6" t="s">
        <v>1098</v>
      </c>
      <c r="B340" s="6" t="s">
        <v>198</v>
      </c>
      <c r="C340" s="6" t="n">
        <v>320</v>
      </c>
      <c r="D340" s="6" t="n">
        <v>8</v>
      </c>
      <c r="E340" s="6" t="s">
        <v>649</v>
      </c>
      <c r="F340" s="6" t="s">
        <v>1933</v>
      </c>
      <c r="G340" s="6" t="s">
        <v>648</v>
      </c>
      <c r="H340" s="6" t="str">
        <f aca="false">IF(D340&lt;=35,"Yes","No")</f>
        <v>Yes</v>
      </c>
      <c r="I340" s="6"/>
    </row>
    <row r="341" customFormat="false" ht="15" hidden="false" customHeight="false" outlineLevel="0" collapsed="false">
      <c r="A341" s="6" t="s">
        <v>1737</v>
      </c>
      <c r="B341" s="6" t="s">
        <v>198</v>
      </c>
      <c r="C341" s="6" t="n">
        <v>320</v>
      </c>
      <c r="D341" s="6" t="n">
        <v>15</v>
      </c>
      <c r="E341" s="6" t="s">
        <v>649</v>
      </c>
      <c r="F341" s="6" t="s">
        <v>1865</v>
      </c>
      <c r="G341" s="6" t="s">
        <v>648</v>
      </c>
      <c r="H341" s="6" t="str">
        <f aca="false">IF(D341&lt;=35,"Yes","No")</f>
        <v>Yes</v>
      </c>
      <c r="I341" s="6"/>
    </row>
    <row r="342" customFormat="false" ht="15" hidden="false" customHeight="false" outlineLevel="0" collapsed="false">
      <c r="A342" s="6" t="s">
        <v>778</v>
      </c>
      <c r="B342" s="6" t="s">
        <v>198</v>
      </c>
      <c r="C342" s="6" t="n">
        <v>320</v>
      </c>
      <c r="D342" s="6" t="n">
        <v>5</v>
      </c>
      <c r="E342" s="6" t="s">
        <v>649</v>
      </c>
      <c r="F342" s="6" t="s">
        <v>1914</v>
      </c>
      <c r="G342" s="6" t="s">
        <v>648</v>
      </c>
      <c r="H342" s="6" t="str">
        <f aca="false">IF(D342&lt;=35,"Yes","No")</f>
        <v>Yes</v>
      </c>
      <c r="I342" s="6"/>
    </row>
    <row r="343" customFormat="false" ht="15" hidden="false" customHeight="false" outlineLevel="0" collapsed="false">
      <c r="A343" s="6" t="s">
        <v>853</v>
      </c>
      <c r="B343" s="6" t="s">
        <v>198</v>
      </c>
      <c r="C343" s="6" t="n">
        <v>320</v>
      </c>
      <c r="D343" s="6" t="n">
        <v>8</v>
      </c>
      <c r="E343" s="6" t="s">
        <v>649</v>
      </c>
      <c r="F343" s="6" t="s">
        <v>1994</v>
      </c>
      <c r="G343" s="6" t="s">
        <v>648</v>
      </c>
      <c r="H343" s="6" t="str">
        <f aca="false">IF(D343&lt;=35,"Yes","No")</f>
        <v>Yes</v>
      </c>
      <c r="I343" s="6"/>
    </row>
    <row r="344" customFormat="false" ht="15" hidden="false" customHeight="false" outlineLevel="0" collapsed="false">
      <c r="A344" s="6" t="s">
        <v>1023</v>
      </c>
      <c r="B344" s="6" t="s">
        <v>198</v>
      </c>
      <c r="C344" s="6" t="n">
        <v>320</v>
      </c>
      <c r="D344" s="6" t="n">
        <v>0</v>
      </c>
      <c r="E344" s="6" t="s">
        <v>649</v>
      </c>
      <c r="F344" s="6" t="s">
        <v>1881</v>
      </c>
      <c r="G344" s="6" t="s">
        <v>648</v>
      </c>
      <c r="H344" s="6" t="str">
        <f aca="false">IF(D344&lt;=35,"Yes","No")</f>
        <v>Yes</v>
      </c>
      <c r="I344" s="6"/>
    </row>
    <row r="345" customFormat="false" ht="15" hidden="false" customHeight="false" outlineLevel="0" collapsed="false">
      <c r="A345" s="6" t="s">
        <v>747</v>
      </c>
      <c r="B345" s="6" t="s">
        <v>198</v>
      </c>
      <c r="C345" s="6" t="n">
        <v>320</v>
      </c>
      <c r="D345" s="6" t="n">
        <v>16</v>
      </c>
      <c r="E345" s="6" t="s">
        <v>649</v>
      </c>
      <c r="F345" s="6" t="s">
        <v>1897</v>
      </c>
      <c r="G345" s="6" t="s">
        <v>648</v>
      </c>
      <c r="H345" s="6" t="str">
        <f aca="false">IF(D345&lt;=35,"Yes","No")</f>
        <v>Yes</v>
      </c>
      <c r="I345" s="6"/>
    </row>
    <row r="346" customFormat="false" ht="15" hidden="false" customHeight="false" outlineLevel="0" collapsed="false">
      <c r="A346" s="6" t="s">
        <v>1344</v>
      </c>
      <c r="B346" s="6" t="s">
        <v>198</v>
      </c>
      <c r="C346" s="6" t="n">
        <v>320</v>
      </c>
      <c r="D346" s="6" t="n">
        <v>22</v>
      </c>
      <c r="E346" s="6" t="s">
        <v>649</v>
      </c>
      <c r="F346" s="6" t="s">
        <v>1876</v>
      </c>
      <c r="G346" s="6" t="s">
        <v>648</v>
      </c>
      <c r="H346" s="6" t="str">
        <f aca="false">IF(D346&lt;=35,"Yes","No")</f>
        <v>Yes</v>
      </c>
      <c r="I346" s="6"/>
    </row>
    <row r="347" customFormat="false" ht="15" hidden="false" customHeight="false" outlineLevel="0" collapsed="false">
      <c r="A347" s="6" t="s">
        <v>123</v>
      </c>
      <c r="B347" s="6" t="s">
        <v>198</v>
      </c>
      <c r="C347" s="6" t="n">
        <v>320</v>
      </c>
      <c r="D347" s="6" t="n">
        <v>8</v>
      </c>
      <c r="E347" s="6" t="s">
        <v>649</v>
      </c>
      <c r="F347" s="6" t="s">
        <v>1899</v>
      </c>
      <c r="G347" s="6" t="s">
        <v>648</v>
      </c>
      <c r="H347" s="6" t="str">
        <f aca="false">IF(D347&lt;=35,"Yes","No")</f>
        <v>Yes</v>
      </c>
      <c r="I347" s="6"/>
    </row>
    <row r="348" customFormat="false" ht="15" hidden="false" customHeight="false" outlineLevel="0" collapsed="false">
      <c r="A348" s="6" t="s">
        <v>2081</v>
      </c>
      <c r="B348" s="6" t="s">
        <v>198</v>
      </c>
      <c r="C348" s="6" t="n">
        <v>320</v>
      </c>
      <c r="D348" s="6" t="n">
        <v>11</v>
      </c>
      <c r="E348" s="6" t="s">
        <v>649</v>
      </c>
      <c r="F348" s="6" t="s">
        <v>1994</v>
      </c>
      <c r="G348" s="6" t="s">
        <v>648</v>
      </c>
      <c r="H348" s="6" t="str">
        <f aca="false">IF(D348&lt;=35,"Yes","No")</f>
        <v>Yes</v>
      </c>
      <c r="I348" s="6"/>
    </row>
    <row r="349" customFormat="false" ht="15" hidden="false" customHeight="false" outlineLevel="0" collapsed="false">
      <c r="A349" s="6" t="s">
        <v>970</v>
      </c>
      <c r="B349" s="6" t="s">
        <v>198</v>
      </c>
      <c r="C349" s="6" t="n">
        <v>320</v>
      </c>
      <c r="D349" s="6" t="n">
        <v>5</v>
      </c>
      <c r="E349" s="6" t="s">
        <v>692</v>
      </c>
      <c r="F349" s="6" t="s">
        <v>1897</v>
      </c>
      <c r="G349" s="6" t="s">
        <v>648</v>
      </c>
      <c r="H349" s="6" t="str">
        <f aca="false">IF(D349&lt;=35,"Yes","No")</f>
        <v>Yes</v>
      </c>
      <c r="I349" s="6"/>
    </row>
    <row r="350" customFormat="false" ht="15" hidden="false" customHeight="false" outlineLevel="0" collapsed="false">
      <c r="A350" s="6" t="s">
        <v>849</v>
      </c>
      <c r="B350" s="6" t="s">
        <v>198</v>
      </c>
      <c r="C350" s="6" t="n">
        <v>320</v>
      </c>
      <c r="D350" s="6" t="n">
        <v>8</v>
      </c>
      <c r="E350" s="6" t="s">
        <v>850</v>
      </c>
      <c r="F350" s="6" t="s">
        <v>1876</v>
      </c>
      <c r="G350" s="6" t="s">
        <v>648</v>
      </c>
      <c r="H350" s="6" t="str">
        <f aca="false">IF(D350&lt;=35,"Yes","No")</f>
        <v>Yes</v>
      </c>
      <c r="I350" s="6"/>
    </row>
    <row r="351" customFormat="false" ht="15" hidden="false" customHeight="false" outlineLevel="0" collapsed="false">
      <c r="A351" s="6" t="s">
        <v>792</v>
      </c>
      <c r="B351" s="6" t="s">
        <v>198</v>
      </c>
      <c r="C351" s="6" t="n">
        <v>320</v>
      </c>
      <c r="D351" s="6" t="n">
        <v>6</v>
      </c>
      <c r="E351" s="6" t="s">
        <v>700</v>
      </c>
      <c r="F351" s="6" t="s">
        <v>1887</v>
      </c>
      <c r="G351" s="6" t="s">
        <v>648</v>
      </c>
      <c r="H351" s="6" t="str">
        <f aca="false">IF(D351&lt;=35,"Yes","No")</f>
        <v>Yes</v>
      </c>
      <c r="I351" s="6"/>
    </row>
    <row r="352" customFormat="false" ht="15" hidden="false" customHeight="false" outlineLevel="0" collapsed="false">
      <c r="A352" s="6" t="s">
        <v>1265</v>
      </c>
      <c r="B352" s="6" t="s">
        <v>198</v>
      </c>
      <c r="C352" s="6" t="n">
        <v>320</v>
      </c>
      <c r="D352" s="6" t="n">
        <v>6</v>
      </c>
      <c r="E352" s="6" t="s">
        <v>700</v>
      </c>
      <c r="F352" s="6" t="s">
        <v>1994</v>
      </c>
      <c r="G352" s="6" t="s">
        <v>648</v>
      </c>
      <c r="H352" s="6" t="str">
        <f aca="false">IF(D352&lt;=35,"Yes","No")</f>
        <v>Yes</v>
      </c>
      <c r="I352" s="6"/>
    </row>
    <row r="353" customFormat="false" ht="15" hidden="false" customHeight="false" outlineLevel="0" collapsed="false">
      <c r="A353" s="6" t="s">
        <v>1424</v>
      </c>
      <c r="B353" s="6" t="s">
        <v>1853</v>
      </c>
      <c r="C353" s="6" t="n">
        <v>320</v>
      </c>
      <c r="D353" s="6" t="n">
        <v>13</v>
      </c>
      <c r="E353" s="6" t="s">
        <v>738</v>
      </c>
      <c r="F353" s="6" t="s">
        <v>2038</v>
      </c>
      <c r="G353" s="6" t="s">
        <v>627</v>
      </c>
      <c r="H353" s="6" t="str">
        <f aca="false">IF(D353&lt;=35,"Yes","No")</f>
        <v>Yes</v>
      </c>
      <c r="I353" s="6"/>
    </row>
    <row r="354" customFormat="false" ht="15" hidden="false" customHeight="false" outlineLevel="0" collapsed="false">
      <c r="A354" s="6" t="s">
        <v>884</v>
      </c>
      <c r="B354" s="6" t="s">
        <v>198</v>
      </c>
      <c r="C354" s="6" t="n">
        <v>320</v>
      </c>
      <c r="D354" s="6" t="n">
        <v>14</v>
      </c>
      <c r="E354" s="6" t="s">
        <v>881</v>
      </c>
      <c r="F354" s="6" t="s">
        <v>1881</v>
      </c>
      <c r="G354" s="6" t="s">
        <v>627</v>
      </c>
      <c r="H354" s="6" t="str">
        <f aca="false">IF(D354&lt;=35,"Yes","No")</f>
        <v>Yes</v>
      </c>
      <c r="I354" s="6"/>
    </row>
    <row r="355" customFormat="false" ht="15" hidden="false" customHeight="false" outlineLevel="0" collapsed="false">
      <c r="A355" s="6" t="s">
        <v>986</v>
      </c>
      <c r="B355" s="6" t="s">
        <v>198</v>
      </c>
      <c r="C355" s="6" t="n">
        <v>320</v>
      </c>
      <c r="D355" s="6" t="n">
        <v>15</v>
      </c>
      <c r="E355" s="6" t="s">
        <v>881</v>
      </c>
      <c r="F355" s="6" t="s">
        <v>1876</v>
      </c>
      <c r="G355" s="6" t="s">
        <v>627</v>
      </c>
      <c r="H355" s="6" t="str">
        <f aca="false">IF(D355&lt;=35,"Yes","No")</f>
        <v>Yes</v>
      </c>
      <c r="I355" s="6"/>
    </row>
    <row r="356" customFormat="false" ht="15" hidden="false" customHeight="false" outlineLevel="0" collapsed="false">
      <c r="A356" s="6" t="s">
        <v>1049</v>
      </c>
      <c r="B356" s="6" t="s">
        <v>198</v>
      </c>
      <c r="C356" s="6" t="n">
        <v>320</v>
      </c>
      <c r="D356" s="6" t="n">
        <v>0</v>
      </c>
      <c r="E356" s="6" t="s">
        <v>881</v>
      </c>
      <c r="F356" s="6" t="s">
        <v>1903</v>
      </c>
      <c r="G356" s="6" t="s">
        <v>627</v>
      </c>
      <c r="H356" s="6" t="str">
        <f aca="false">IF(D356&lt;=35,"Yes","No")</f>
        <v>Yes</v>
      </c>
      <c r="I356" s="6"/>
    </row>
    <row r="357" customFormat="false" ht="15" hidden="false" customHeight="false" outlineLevel="0" collapsed="false">
      <c r="A357" s="6" t="s">
        <v>806</v>
      </c>
      <c r="B357" s="6" t="s">
        <v>198</v>
      </c>
      <c r="C357" s="6" t="n">
        <v>320</v>
      </c>
      <c r="D357" s="6" t="n">
        <v>7</v>
      </c>
      <c r="E357" s="6" t="s">
        <v>642</v>
      </c>
      <c r="F357" s="6" t="s">
        <v>1878</v>
      </c>
      <c r="G357" s="6" t="s">
        <v>627</v>
      </c>
      <c r="H357" s="6" t="str">
        <f aca="false">IF(D357&lt;=35,"Yes","No")</f>
        <v>Yes</v>
      </c>
      <c r="I357" s="6"/>
    </row>
    <row r="358" customFormat="false" ht="15" hidden="false" customHeight="false" outlineLevel="0" collapsed="false">
      <c r="A358" s="6" t="s">
        <v>1211</v>
      </c>
      <c r="B358" s="6" t="s">
        <v>1853</v>
      </c>
      <c r="C358" s="6" t="n">
        <v>320</v>
      </c>
      <c r="D358" s="6" t="n">
        <v>4</v>
      </c>
      <c r="E358" s="6" t="s">
        <v>2082</v>
      </c>
      <c r="F358" s="6" t="s">
        <v>1914</v>
      </c>
      <c r="G358" s="6" t="s">
        <v>648</v>
      </c>
      <c r="H358" s="6" t="str">
        <f aca="false">IF(D358&lt;=35,"Yes","No")</f>
        <v>Yes</v>
      </c>
      <c r="I358" s="6"/>
    </row>
    <row r="359" customFormat="false" ht="15" hidden="false" customHeight="false" outlineLevel="0" collapsed="false">
      <c r="A359" s="6" t="s">
        <v>1535</v>
      </c>
      <c r="B359" s="6" t="s">
        <v>1853</v>
      </c>
      <c r="C359" s="6" t="n">
        <v>320</v>
      </c>
      <c r="D359" s="6" t="n">
        <v>23</v>
      </c>
      <c r="E359" s="6" t="s">
        <v>1536</v>
      </c>
      <c r="F359" s="6" t="s">
        <v>1891</v>
      </c>
      <c r="G359" s="6" t="s">
        <v>648</v>
      </c>
      <c r="H359" s="6" t="str">
        <f aca="false">IF(D359&lt;=35,"Yes","No")</f>
        <v>Yes</v>
      </c>
      <c r="I359" s="6"/>
    </row>
    <row r="360" customFormat="false" ht="15" hidden="false" customHeight="false" outlineLevel="0" collapsed="false">
      <c r="A360" s="6" t="s">
        <v>1351</v>
      </c>
      <c r="B360" s="6" t="s">
        <v>1853</v>
      </c>
      <c r="C360" s="6" t="n">
        <v>320</v>
      </c>
      <c r="D360" s="6" t="n">
        <v>9</v>
      </c>
      <c r="E360" s="6" t="s">
        <v>649</v>
      </c>
      <c r="F360" s="6" t="s">
        <v>2057</v>
      </c>
      <c r="G360" s="6" t="s">
        <v>648</v>
      </c>
      <c r="H360" s="6" t="str">
        <f aca="false">IF(D360&lt;=35,"Yes","No")</f>
        <v>Yes</v>
      </c>
      <c r="I360" s="6"/>
    </row>
    <row r="361" customFormat="false" ht="15" hidden="false" customHeight="false" outlineLevel="0" collapsed="false">
      <c r="A361" s="6" t="s">
        <v>1526</v>
      </c>
      <c r="B361" s="6" t="s">
        <v>1853</v>
      </c>
      <c r="C361" s="6" t="n">
        <v>320</v>
      </c>
      <c r="D361" s="6" t="n">
        <v>20</v>
      </c>
      <c r="E361" s="6" t="s">
        <v>649</v>
      </c>
      <c r="F361" s="6" t="s">
        <v>2073</v>
      </c>
      <c r="G361" s="6" t="s">
        <v>648</v>
      </c>
      <c r="H361" s="6" t="str">
        <f aca="false">IF(D361&lt;=35,"Yes","No")</f>
        <v>Yes</v>
      </c>
      <c r="I361" s="6"/>
    </row>
    <row r="362" customFormat="false" ht="15" hidden="false" customHeight="false" outlineLevel="0" collapsed="false">
      <c r="A362" s="6" t="s">
        <v>141</v>
      </c>
      <c r="B362" s="6" t="s">
        <v>1853</v>
      </c>
      <c r="C362" s="6" t="n">
        <v>320</v>
      </c>
      <c r="D362" s="6" t="n">
        <v>10</v>
      </c>
      <c r="E362" s="6" t="s">
        <v>755</v>
      </c>
      <c r="F362" s="6" t="s">
        <v>2061</v>
      </c>
      <c r="G362" s="6" t="s">
        <v>648</v>
      </c>
      <c r="H362" s="6" t="str">
        <f aca="false">IF(D362&lt;=35,"Yes","No")</f>
        <v>Yes</v>
      </c>
      <c r="I362" s="6"/>
    </row>
    <row r="363" customFormat="false" ht="15" hidden="false" customHeight="false" outlineLevel="0" collapsed="false">
      <c r="A363" s="6" t="s">
        <v>141</v>
      </c>
      <c r="B363" s="6" t="s">
        <v>198</v>
      </c>
      <c r="C363" s="6" t="n">
        <v>320</v>
      </c>
      <c r="D363" s="6" t="n">
        <v>10</v>
      </c>
      <c r="E363" s="6" t="s">
        <v>755</v>
      </c>
      <c r="F363" s="6" t="s">
        <v>2061</v>
      </c>
      <c r="G363" s="6" t="s">
        <v>648</v>
      </c>
      <c r="H363" s="6" t="str">
        <f aca="false">IF(D363&lt;=35,"Yes","No")</f>
        <v>Yes</v>
      </c>
      <c r="I363" s="6"/>
    </row>
    <row r="364" customFormat="false" ht="15" hidden="false" customHeight="false" outlineLevel="0" collapsed="false">
      <c r="A364" s="6" t="s">
        <v>1172</v>
      </c>
      <c r="B364" s="6" t="s">
        <v>198</v>
      </c>
      <c r="C364" s="6" t="n">
        <v>320</v>
      </c>
      <c r="D364" s="6" t="n">
        <v>9</v>
      </c>
      <c r="E364" s="6" t="s">
        <v>700</v>
      </c>
      <c r="F364" s="6" t="s">
        <v>2061</v>
      </c>
      <c r="G364" s="6" t="s">
        <v>648</v>
      </c>
      <c r="H364" s="6" t="str">
        <f aca="false">IF(D364&lt;=35,"Yes","No")</f>
        <v>Yes</v>
      </c>
      <c r="I364" s="6"/>
    </row>
    <row r="365" customFormat="false" ht="15" hidden="false" customHeight="false" outlineLevel="0" collapsed="false">
      <c r="A365" s="6" t="s">
        <v>1506</v>
      </c>
      <c r="B365" s="6" t="s">
        <v>1853</v>
      </c>
      <c r="C365" s="6" t="n">
        <v>320</v>
      </c>
      <c r="D365" s="6" t="n">
        <v>24</v>
      </c>
      <c r="E365" s="6" t="s">
        <v>796</v>
      </c>
      <c r="F365" s="6" t="s">
        <v>1988</v>
      </c>
      <c r="G365" s="6" t="s">
        <v>648</v>
      </c>
      <c r="H365" s="6" t="str">
        <f aca="false">IF(D365&lt;=35,"Yes","No")</f>
        <v>Yes</v>
      </c>
      <c r="I365" s="6"/>
    </row>
    <row r="366" customFormat="false" ht="15" hidden="false" customHeight="false" outlineLevel="0" collapsed="false">
      <c r="A366" s="6" t="s">
        <v>1019</v>
      </c>
      <c r="B366" s="6" t="s">
        <v>1853</v>
      </c>
      <c r="C366" s="6" t="n">
        <v>320</v>
      </c>
      <c r="D366" s="6" t="n">
        <v>18</v>
      </c>
      <c r="E366" s="6" t="s">
        <v>642</v>
      </c>
      <c r="F366" s="6" t="s">
        <v>2075</v>
      </c>
      <c r="G366" s="6" t="s">
        <v>627</v>
      </c>
      <c r="H366" s="6" t="str">
        <f aca="false">IF(D366&lt;=35,"Yes","No")</f>
        <v>Yes</v>
      </c>
      <c r="I366" s="6"/>
    </row>
    <row r="367" customFormat="false" ht="15" hidden="false" customHeight="false" outlineLevel="0" collapsed="false">
      <c r="A367" s="6" t="s">
        <v>1095</v>
      </c>
      <c r="B367" s="6" t="s">
        <v>1853</v>
      </c>
      <c r="C367" s="6" t="n">
        <v>320</v>
      </c>
      <c r="D367" s="6" t="n">
        <v>6</v>
      </c>
      <c r="E367" s="6" t="s">
        <v>642</v>
      </c>
      <c r="F367" s="6" t="s">
        <v>2083</v>
      </c>
      <c r="G367" s="6" t="s">
        <v>627</v>
      </c>
      <c r="H367" s="6" t="str">
        <f aca="false">IF(D367&lt;=35,"Yes","No")</f>
        <v>Yes</v>
      </c>
      <c r="I367" s="6"/>
    </row>
    <row r="368" customFormat="false" ht="15" hidden="false" customHeight="false" outlineLevel="0" collapsed="false">
      <c r="A368" s="6" t="s">
        <v>1272</v>
      </c>
      <c r="B368" s="6" t="s">
        <v>1853</v>
      </c>
      <c r="C368" s="6" t="n">
        <v>320</v>
      </c>
      <c r="D368" s="6" t="n">
        <v>6</v>
      </c>
      <c r="E368" s="6" t="s">
        <v>642</v>
      </c>
      <c r="F368" s="6" t="s">
        <v>2084</v>
      </c>
      <c r="G368" s="6" t="s">
        <v>627</v>
      </c>
      <c r="H368" s="6" t="str">
        <f aca="false">IF(D368&lt;=35,"Yes","No")</f>
        <v>Yes</v>
      </c>
      <c r="I368" s="6"/>
    </row>
    <row r="369" customFormat="false" ht="15" hidden="false" customHeight="false" outlineLevel="0" collapsed="false">
      <c r="A369" s="6" t="s">
        <v>1227</v>
      </c>
      <c r="B369" s="6" t="s">
        <v>1853</v>
      </c>
      <c r="C369" s="6" t="n">
        <v>320</v>
      </c>
      <c r="D369" s="6" t="n">
        <v>16</v>
      </c>
      <c r="E369" s="6" t="s">
        <v>642</v>
      </c>
      <c r="F369" s="6" t="s">
        <v>2085</v>
      </c>
      <c r="G369" s="6" t="s">
        <v>627</v>
      </c>
      <c r="H369" s="6" t="str">
        <f aca="false">IF(D369&lt;=35,"Yes","No")</f>
        <v>Yes</v>
      </c>
      <c r="I369" s="6"/>
    </row>
    <row r="370" customFormat="false" ht="15" hidden="false" customHeight="false" outlineLevel="0" collapsed="false">
      <c r="A370" s="6" t="s">
        <v>1294</v>
      </c>
      <c r="B370" s="6" t="s">
        <v>1853</v>
      </c>
      <c r="C370" s="6" t="n">
        <v>320</v>
      </c>
      <c r="D370" s="6" t="n">
        <v>7</v>
      </c>
      <c r="E370" s="6" t="s">
        <v>642</v>
      </c>
      <c r="F370" s="6" t="s">
        <v>2086</v>
      </c>
      <c r="G370" s="6" t="s">
        <v>627</v>
      </c>
      <c r="H370" s="6" t="str">
        <f aca="false">IF(D370&lt;=35,"Yes","No")</f>
        <v>Yes</v>
      </c>
      <c r="I370" s="6"/>
    </row>
    <row r="371" customFormat="false" ht="15" hidden="false" customHeight="false" outlineLevel="0" collapsed="false">
      <c r="A371" s="6" t="s">
        <v>1237</v>
      </c>
      <c r="B371" s="6" t="s">
        <v>1853</v>
      </c>
      <c r="C371" s="6" t="n">
        <v>320</v>
      </c>
      <c r="D371" s="6" t="n">
        <v>6</v>
      </c>
      <c r="E371" s="6" t="s">
        <v>1199</v>
      </c>
      <c r="F371" s="6" t="s">
        <v>2087</v>
      </c>
      <c r="G371" s="6" t="s">
        <v>627</v>
      </c>
      <c r="H371" s="6" t="str">
        <f aca="false">IF(D371&lt;=35,"Yes","No")</f>
        <v>Yes</v>
      </c>
      <c r="I371" s="6"/>
    </row>
    <row r="372" customFormat="false" ht="15" hidden="false" customHeight="false" outlineLevel="0" collapsed="false">
      <c r="A372" s="6" t="s">
        <v>97</v>
      </c>
      <c r="B372" s="6" t="s">
        <v>198</v>
      </c>
      <c r="C372" s="6" t="n">
        <v>320</v>
      </c>
      <c r="D372" s="6" t="n">
        <v>9</v>
      </c>
      <c r="E372" s="6" t="s">
        <v>649</v>
      </c>
      <c r="F372" s="6" t="s">
        <v>1884</v>
      </c>
      <c r="G372" s="6" t="s">
        <v>648</v>
      </c>
      <c r="H372" s="6" t="str">
        <f aca="false">IF(D372&lt;=35,"Yes","No")</f>
        <v>Yes</v>
      </c>
      <c r="I372" s="6"/>
    </row>
    <row r="373" customFormat="false" ht="15" hidden="false" customHeight="false" outlineLevel="0" collapsed="false">
      <c r="A373" s="6" t="s">
        <v>820</v>
      </c>
      <c r="B373" s="6" t="s">
        <v>198</v>
      </c>
      <c r="C373" s="6" t="n">
        <v>320</v>
      </c>
      <c r="D373" s="6" t="n">
        <v>5</v>
      </c>
      <c r="E373" s="6" t="s">
        <v>642</v>
      </c>
      <c r="F373" s="6" t="s">
        <v>2058</v>
      </c>
      <c r="G373" s="6" t="s">
        <v>627</v>
      </c>
      <c r="H373" s="6" t="str">
        <f aca="false">IF(D373&lt;=35,"Yes","No")</f>
        <v>Yes</v>
      </c>
      <c r="I373" s="6"/>
    </row>
    <row r="374" customFormat="false" ht="15" hidden="false" customHeight="false" outlineLevel="0" collapsed="false">
      <c r="A374" s="6" t="s">
        <v>977</v>
      </c>
      <c r="B374" s="6" t="s">
        <v>198</v>
      </c>
      <c r="C374" s="6" t="n">
        <v>320</v>
      </c>
      <c r="D374" s="6" t="n">
        <v>6</v>
      </c>
      <c r="E374" s="6" t="s">
        <v>642</v>
      </c>
      <c r="F374" s="6" t="s">
        <v>2088</v>
      </c>
      <c r="G374" s="6" t="s">
        <v>627</v>
      </c>
      <c r="H374" s="6" t="str">
        <f aca="false">IF(D374&lt;=35,"Yes","No")</f>
        <v>Yes</v>
      </c>
      <c r="I374" s="6"/>
    </row>
    <row r="375" customFormat="false" ht="15" hidden="false" customHeight="false" outlineLevel="0" collapsed="false">
      <c r="A375" s="6" t="s">
        <v>1241</v>
      </c>
      <c r="B375" s="6" t="s">
        <v>198</v>
      </c>
      <c r="C375" s="6" t="n">
        <v>320</v>
      </c>
      <c r="D375" s="6" t="n">
        <v>5</v>
      </c>
      <c r="E375" s="6" t="s">
        <v>1199</v>
      </c>
      <c r="F375" s="6" t="s">
        <v>2089</v>
      </c>
      <c r="G375" s="6" t="s">
        <v>627</v>
      </c>
      <c r="H375" s="6" t="str">
        <f aca="false">IF(D375&lt;=35,"Yes","No")</f>
        <v>Yes</v>
      </c>
      <c r="I375" s="6"/>
    </row>
    <row r="376" customFormat="false" ht="15" hidden="false" customHeight="false" outlineLevel="0" collapsed="false">
      <c r="A376" s="6" t="s">
        <v>1498</v>
      </c>
      <c r="B376" s="6" t="s">
        <v>1853</v>
      </c>
      <c r="C376" s="6" t="n">
        <v>290</v>
      </c>
      <c r="D376" s="6" t="n">
        <v>15</v>
      </c>
      <c r="E376" s="6" t="s">
        <v>649</v>
      </c>
      <c r="F376" s="6" t="s">
        <v>2090</v>
      </c>
      <c r="G376" s="6" t="s">
        <v>648</v>
      </c>
      <c r="H376" s="6" t="str">
        <f aca="false">IF(D376&lt;=35,"Yes","No")</f>
        <v>Yes</v>
      </c>
      <c r="I376" s="6"/>
    </row>
    <row r="377" customFormat="false" ht="15" hidden="false" customHeight="false" outlineLevel="0" collapsed="false">
      <c r="A377" s="6" t="s">
        <v>1545</v>
      </c>
      <c r="B377" s="6" t="s">
        <v>198</v>
      </c>
      <c r="C377" s="6" t="n">
        <v>290</v>
      </c>
      <c r="D377" s="6" t="n">
        <v>18</v>
      </c>
      <c r="E377" s="6" t="s">
        <v>649</v>
      </c>
      <c r="F377" s="6" t="s">
        <v>2091</v>
      </c>
      <c r="G377" s="6" t="s">
        <v>648</v>
      </c>
      <c r="H377" s="6" t="str">
        <f aca="false">IF(D377&lt;=35,"Yes","No")</f>
        <v>Yes</v>
      </c>
      <c r="I377" s="6"/>
    </row>
    <row r="378" customFormat="false" ht="15" hidden="false" customHeight="false" outlineLevel="0" collapsed="false">
      <c r="A378" s="6" t="s">
        <v>1320</v>
      </c>
      <c r="B378" s="6" t="s">
        <v>1853</v>
      </c>
      <c r="C378" s="6" t="n">
        <v>260</v>
      </c>
      <c r="D378" s="6" t="n">
        <v>15</v>
      </c>
      <c r="E378" s="6" t="s">
        <v>1308</v>
      </c>
      <c r="F378" s="6" t="s">
        <v>1931</v>
      </c>
      <c r="G378" s="6" t="s">
        <v>648</v>
      </c>
      <c r="H378" s="6" t="str">
        <f aca="false">IF(D378&lt;=35,"Yes","No")</f>
        <v>Yes</v>
      </c>
      <c r="I378" s="6"/>
    </row>
    <row r="379" customFormat="false" ht="15" hidden="false" customHeight="false" outlineLevel="0" collapsed="false">
      <c r="A379" s="6" t="s">
        <v>1191</v>
      </c>
      <c r="B379" s="6" t="s">
        <v>1853</v>
      </c>
      <c r="C379" s="6" t="n">
        <v>260</v>
      </c>
      <c r="D379" s="6" t="n">
        <v>15</v>
      </c>
      <c r="E379" s="6" t="s">
        <v>784</v>
      </c>
      <c r="F379" s="6" t="s">
        <v>1895</v>
      </c>
      <c r="G379" s="6" t="s">
        <v>648</v>
      </c>
      <c r="H379" s="6" t="str">
        <f aca="false">IF(D379&lt;=35,"Yes","No")</f>
        <v>Yes</v>
      </c>
      <c r="I379" s="6"/>
    </row>
    <row r="380" customFormat="false" ht="15" hidden="false" customHeight="false" outlineLevel="0" collapsed="false">
      <c r="A380" s="6" t="s">
        <v>2092</v>
      </c>
      <c r="B380" s="6" t="s">
        <v>1853</v>
      </c>
      <c r="C380" s="6" t="n">
        <v>260</v>
      </c>
      <c r="D380" s="6" t="n">
        <v>18</v>
      </c>
      <c r="E380" s="6" t="s">
        <v>649</v>
      </c>
      <c r="F380" s="6" t="s">
        <v>1897</v>
      </c>
      <c r="G380" s="6" t="s">
        <v>648</v>
      </c>
      <c r="H380" s="6" t="str">
        <f aca="false">IF(D380&lt;=35,"Yes","No")</f>
        <v>Yes</v>
      </c>
      <c r="I380" s="6"/>
    </row>
    <row r="381" customFormat="false" ht="15" hidden="false" customHeight="false" outlineLevel="0" collapsed="false">
      <c r="A381" s="6" t="s">
        <v>2093</v>
      </c>
      <c r="B381" s="6" t="s">
        <v>1853</v>
      </c>
      <c r="C381" s="6" t="n">
        <v>260</v>
      </c>
      <c r="D381" s="6" t="n">
        <v>10</v>
      </c>
      <c r="E381" s="6" t="s">
        <v>649</v>
      </c>
      <c r="F381" s="6" t="s">
        <v>1885</v>
      </c>
      <c r="G381" s="6" t="s">
        <v>648</v>
      </c>
      <c r="H381" s="6" t="str">
        <f aca="false">IF(D381&lt;=35,"Yes","No")</f>
        <v>Yes</v>
      </c>
      <c r="I381" s="6"/>
    </row>
    <row r="382" customFormat="false" ht="15" hidden="false" customHeight="false" outlineLevel="0" collapsed="false">
      <c r="A382" s="6" t="s">
        <v>2046</v>
      </c>
      <c r="B382" s="6" t="s">
        <v>1853</v>
      </c>
      <c r="C382" s="6" t="n">
        <v>260</v>
      </c>
      <c r="D382" s="6" t="n">
        <v>10</v>
      </c>
      <c r="E382" s="6" t="s">
        <v>649</v>
      </c>
      <c r="F382" s="6" t="s">
        <v>1911</v>
      </c>
      <c r="G382" s="6" t="s">
        <v>648</v>
      </c>
      <c r="H382" s="6" t="str">
        <f aca="false">IF(D382&lt;=35,"Yes","No")</f>
        <v>Yes</v>
      </c>
      <c r="I382" s="6"/>
    </row>
    <row r="383" customFormat="false" ht="15" hidden="false" customHeight="false" outlineLevel="0" collapsed="false">
      <c r="A383" s="6" t="s">
        <v>663</v>
      </c>
      <c r="B383" s="6" t="s">
        <v>1853</v>
      </c>
      <c r="C383" s="6" t="n">
        <v>260</v>
      </c>
      <c r="D383" s="6" t="n">
        <v>15</v>
      </c>
      <c r="E383" s="6" t="s">
        <v>649</v>
      </c>
      <c r="F383" s="6" t="s">
        <v>1901</v>
      </c>
      <c r="G383" s="6" t="s">
        <v>648</v>
      </c>
      <c r="H383" s="6" t="str">
        <f aca="false">IF(D383&lt;=35,"Yes","No")</f>
        <v>Yes</v>
      </c>
      <c r="I383" s="6"/>
    </row>
    <row r="384" customFormat="false" ht="15" hidden="false" customHeight="false" outlineLevel="0" collapsed="false">
      <c r="A384" s="6" t="s">
        <v>2094</v>
      </c>
      <c r="B384" s="6" t="s">
        <v>1853</v>
      </c>
      <c r="C384" s="6" t="n">
        <v>260</v>
      </c>
      <c r="D384" s="6" t="n">
        <v>11</v>
      </c>
      <c r="E384" s="6" t="s">
        <v>649</v>
      </c>
      <c r="F384" s="6" t="s">
        <v>1909</v>
      </c>
      <c r="G384" s="6" t="s">
        <v>648</v>
      </c>
      <c r="H384" s="6" t="str">
        <f aca="false">IF(D384&lt;=35,"Yes","No")</f>
        <v>Yes</v>
      </c>
      <c r="I384" s="6"/>
    </row>
    <row r="385" customFormat="false" ht="15" hidden="false" customHeight="false" outlineLevel="0" collapsed="false">
      <c r="A385" s="6" t="s">
        <v>2095</v>
      </c>
      <c r="B385" s="6" t="s">
        <v>1853</v>
      </c>
      <c r="C385" s="6" t="n">
        <v>260</v>
      </c>
      <c r="D385" s="6" t="n">
        <v>7</v>
      </c>
      <c r="E385" s="6" t="s">
        <v>649</v>
      </c>
      <c r="F385" s="6" t="s">
        <v>1878</v>
      </c>
      <c r="G385" s="6" t="s">
        <v>648</v>
      </c>
      <c r="H385" s="6" t="str">
        <f aca="false">IF(D385&lt;=35,"Yes","No")</f>
        <v>Yes</v>
      </c>
      <c r="I385" s="6"/>
    </row>
    <row r="386" customFormat="false" ht="15" hidden="false" customHeight="false" outlineLevel="0" collapsed="false">
      <c r="A386" s="6" t="s">
        <v>2096</v>
      </c>
      <c r="B386" s="6" t="s">
        <v>1853</v>
      </c>
      <c r="C386" s="6" t="n">
        <v>260</v>
      </c>
      <c r="D386" s="6" t="n">
        <v>10</v>
      </c>
      <c r="E386" s="6" t="s">
        <v>649</v>
      </c>
      <c r="F386" s="6" t="s">
        <v>1901</v>
      </c>
      <c r="G386" s="6" t="s">
        <v>648</v>
      </c>
      <c r="H386" s="6" t="str">
        <f aca="false">IF(D386&lt;=35,"Yes","No")</f>
        <v>Yes</v>
      </c>
      <c r="I386" s="6"/>
    </row>
    <row r="387" customFormat="false" ht="15" hidden="false" customHeight="false" outlineLevel="0" collapsed="false">
      <c r="A387" s="6" t="s">
        <v>970</v>
      </c>
      <c r="B387" s="6" t="s">
        <v>1853</v>
      </c>
      <c r="C387" s="6" t="n">
        <v>260</v>
      </c>
      <c r="D387" s="6" t="n">
        <v>8</v>
      </c>
      <c r="E387" s="6" t="s">
        <v>692</v>
      </c>
      <c r="F387" s="6" t="s">
        <v>1897</v>
      </c>
      <c r="G387" s="6" t="s">
        <v>648</v>
      </c>
      <c r="H387" s="6" t="str">
        <f aca="false">IF(D387&lt;=35,"Yes","No")</f>
        <v>Yes</v>
      </c>
      <c r="I387" s="6"/>
    </row>
    <row r="388" customFormat="false" ht="15" hidden="false" customHeight="false" outlineLevel="0" collapsed="false">
      <c r="A388" s="6" t="s">
        <v>1596</v>
      </c>
      <c r="B388" s="6" t="s">
        <v>1853</v>
      </c>
      <c r="C388" s="6" t="n">
        <v>260</v>
      </c>
      <c r="D388" s="6" t="n">
        <v>25</v>
      </c>
      <c r="E388" s="6" t="s">
        <v>692</v>
      </c>
      <c r="F388" s="6" t="s">
        <v>1891</v>
      </c>
      <c r="G388" s="6" t="s">
        <v>648</v>
      </c>
      <c r="H388" s="6" t="str">
        <f aca="false">IF(D388&lt;=35,"Yes","No")</f>
        <v>Yes</v>
      </c>
      <c r="I388" s="6"/>
    </row>
    <row r="389" customFormat="false" ht="15" hidden="false" customHeight="false" outlineLevel="0" collapsed="false">
      <c r="A389" s="6" t="s">
        <v>869</v>
      </c>
      <c r="B389" s="6" t="s">
        <v>1853</v>
      </c>
      <c r="C389" s="6" t="n">
        <v>260</v>
      </c>
      <c r="D389" s="6" t="n">
        <v>7</v>
      </c>
      <c r="E389" s="6" t="s">
        <v>692</v>
      </c>
      <c r="F389" s="6" t="s">
        <v>1899</v>
      </c>
      <c r="G389" s="6" t="s">
        <v>648</v>
      </c>
      <c r="H389" s="6" t="str">
        <f aca="false">IF(D389&lt;=35,"Yes","No")</f>
        <v>Yes</v>
      </c>
      <c r="I389" s="6"/>
    </row>
    <row r="390" customFormat="false" ht="15" hidden="false" customHeight="false" outlineLevel="0" collapsed="false">
      <c r="A390" s="6" t="s">
        <v>900</v>
      </c>
      <c r="B390" s="6" t="s">
        <v>1853</v>
      </c>
      <c r="C390" s="6" t="n">
        <v>260</v>
      </c>
      <c r="D390" s="6" t="n">
        <v>6</v>
      </c>
      <c r="E390" s="6" t="s">
        <v>700</v>
      </c>
      <c r="F390" s="6" t="s">
        <v>1925</v>
      </c>
      <c r="G390" s="6" t="s">
        <v>648</v>
      </c>
      <c r="H390" s="6" t="str">
        <f aca="false">IF(D390&lt;=35,"Yes","No")</f>
        <v>Yes</v>
      </c>
      <c r="I390" s="6"/>
    </row>
    <row r="391" customFormat="false" ht="15" hidden="false" customHeight="false" outlineLevel="0" collapsed="false">
      <c r="A391" s="6" t="s">
        <v>2097</v>
      </c>
      <c r="B391" s="6" t="s">
        <v>198</v>
      </c>
      <c r="C391" s="6" t="n">
        <v>260</v>
      </c>
      <c r="D391" s="6" t="n">
        <v>6</v>
      </c>
      <c r="E391" s="6" t="s">
        <v>649</v>
      </c>
      <c r="F391" s="6" t="s">
        <v>1882</v>
      </c>
      <c r="G391" s="6" t="s">
        <v>648</v>
      </c>
      <c r="H391" s="6" t="str">
        <f aca="false">IF(D391&lt;=35,"Yes","No")</f>
        <v>Yes</v>
      </c>
      <c r="I391" s="6"/>
    </row>
    <row r="392" customFormat="false" ht="15" hidden="false" customHeight="false" outlineLevel="0" collapsed="false">
      <c r="A392" s="6" t="s">
        <v>1870</v>
      </c>
      <c r="B392" s="6" t="s">
        <v>198</v>
      </c>
      <c r="C392" s="6" t="n">
        <v>260</v>
      </c>
      <c r="D392" s="6" t="n">
        <v>20</v>
      </c>
      <c r="E392" s="6" t="s">
        <v>649</v>
      </c>
      <c r="F392" s="6" t="s">
        <v>1860</v>
      </c>
      <c r="G392" s="6" t="s">
        <v>648</v>
      </c>
      <c r="H392" s="6" t="str">
        <f aca="false">IF(D392&lt;=35,"Yes","No")</f>
        <v>Yes</v>
      </c>
      <c r="I392" s="6"/>
    </row>
    <row r="393" customFormat="false" ht="15" hidden="false" customHeight="false" outlineLevel="0" collapsed="false">
      <c r="A393" s="6" t="s">
        <v>2098</v>
      </c>
      <c r="B393" s="6" t="s">
        <v>198</v>
      </c>
      <c r="C393" s="6" t="n">
        <v>260</v>
      </c>
      <c r="D393" s="6" t="n">
        <v>20</v>
      </c>
      <c r="E393" s="6" t="s">
        <v>649</v>
      </c>
      <c r="F393" s="6" t="s">
        <v>1925</v>
      </c>
      <c r="G393" s="6" t="s">
        <v>648</v>
      </c>
      <c r="H393" s="6" t="str">
        <f aca="false">IF(D393&lt;=35,"Yes","No")</f>
        <v>Yes</v>
      </c>
      <c r="I393" s="6"/>
    </row>
    <row r="394" customFormat="false" ht="15" hidden="false" customHeight="false" outlineLevel="0" collapsed="false">
      <c r="A394" s="6" t="s">
        <v>1331</v>
      </c>
      <c r="B394" s="6" t="s">
        <v>198</v>
      </c>
      <c r="C394" s="6" t="n">
        <v>260</v>
      </c>
      <c r="D394" s="6" t="n">
        <v>5</v>
      </c>
      <c r="E394" s="6" t="s">
        <v>649</v>
      </c>
      <c r="F394" s="6" t="s">
        <v>1907</v>
      </c>
      <c r="G394" s="6" t="s">
        <v>648</v>
      </c>
      <c r="H394" s="6" t="str">
        <f aca="false">IF(D394&lt;=35,"Yes","No")</f>
        <v>Yes</v>
      </c>
      <c r="I394" s="6"/>
    </row>
    <row r="395" customFormat="false" ht="15" hidden="false" customHeight="false" outlineLevel="0" collapsed="false">
      <c r="A395" s="6" t="s">
        <v>2064</v>
      </c>
      <c r="B395" s="6" t="s">
        <v>198</v>
      </c>
      <c r="C395" s="6" t="n">
        <v>260</v>
      </c>
      <c r="D395" s="6" t="n">
        <v>20</v>
      </c>
      <c r="E395" s="6" t="s">
        <v>649</v>
      </c>
      <c r="F395" s="6" t="s">
        <v>1911</v>
      </c>
      <c r="G395" s="6" t="s">
        <v>648</v>
      </c>
      <c r="H395" s="6" t="str">
        <f aca="false">IF(D395&lt;=35,"Yes","No")</f>
        <v>Yes</v>
      </c>
      <c r="I395" s="6"/>
    </row>
    <row r="396" customFormat="false" ht="15" hidden="false" customHeight="false" outlineLevel="0" collapsed="false">
      <c r="A396" s="6" t="s">
        <v>897</v>
      </c>
      <c r="B396" s="6" t="s">
        <v>198</v>
      </c>
      <c r="C396" s="6" t="n">
        <v>260</v>
      </c>
      <c r="D396" s="6" t="n">
        <v>5</v>
      </c>
      <c r="E396" s="6" t="s">
        <v>700</v>
      </c>
      <c r="F396" s="6" t="s">
        <v>1876</v>
      </c>
      <c r="G396" s="6" t="s">
        <v>648</v>
      </c>
      <c r="H396" s="6" t="str">
        <f aca="false">IF(D396&lt;=35,"Yes","No")</f>
        <v>Yes</v>
      </c>
      <c r="I396" s="6"/>
    </row>
    <row r="397" customFormat="false" ht="15" hidden="false" customHeight="false" outlineLevel="0" collapsed="false">
      <c r="A397" s="6" t="s">
        <v>925</v>
      </c>
      <c r="B397" s="6" t="s">
        <v>198</v>
      </c>
      <c r="C397" s="6" t="n">
        <v>260</v>
      </c>
      <c r="D397" s="6" t="n">
        <v>16</v>
      </c>
      <c r="E397" s="6" t="s">
        <v>700</v>
      </c>
      <c r="F397" s="6" t="s">
        <v>1918</v>
      </c>
      <c r="G397" s="6" t="s">
        <v>648</v>
      </c>
      <c r="H397" s="6" t="str">
        <f aca="false">IF(D397&lt;=35,"Yes","No")</f>
        <v>Yes</v>
      </c>
      <c r="I397" s="6"/>
    </row>
    <row r="398" customFormat="false" ht="15" hidden="false" customHeight="false" outlineLevel="0" collapsed="false">
      <c r="A398" s="6" t="s">
        <v>974</v>
      </c>
      <c r="B398" s="6" t="s">
        <v>198</v>
      </c>
      <c r="C398" s="6" t="n">
        <v>260</v>
      </c>
      <c r="D398" s="6" t="n">
        <v>12</v>
      </c>
      <c r="E398" s="6" t="s">
        <v>700</v>
      </c>
      <c r="F398" s="6" t="s">
        <v>1988</v>
      </c>
      <c r="G398" s="6" t="s">
        <v>648</v>
      </c>
      <c r="H398" s="6" t="str">
        <f aca="false">IF(D398&lt;=35,"Yes","No")</f>
        <v>Yes</v>
      </c>
      <c r="I398" s="6"/>
    </row>
    <row r="399" customFormat="false" ht="15" hidden="false" customHeight="false" outlineLevel="0" collapsed="false">
      <c r="A399" s="6" t="s">
        <v>733</v>
      </c>
      <c r="B399" s="6" t="s">
        <v>198</v>
      </c>
      <c r="C399" s="6" t="n">
        <v>260</v>
      </c>
      <c r="D399" s="6" t="n">
        <v>5</v>
      </c>
      <c r="E399" s="6" t="s">
        <v>700</v>
      </c>
      <c r="F399" s="6" t="s">
        <v>1920</v>
      </c>
      <c r="G399" s="6" t="s">
        <v>648</v>
      </c>
      <c r="H399" s="6" t="str">
        <f aca="false">IF(D399&lt;=35,"Yes","No")</f>
        <v>Yes</v>
      </c>
      <c r="I399" s="6"/>
    </row>
    <row r="400" customFormat="false" ht="15" hidden="false" customHeight="false" outlineLevel="0" collapsed="false">
      <c r="A400" s="6" t="s">
        <v>810</v>
      </c>
      <c r="B400" s="6" t="s">
        <v>198</v>
      </c>
      <c r="C400" s="6" t="n">
        <v>260</v>
      </c>
      <c r="D400" s="6" t="n">
        <v>5</v>
      </c>
      <c r="E400" s="6" t="s">
        <v>700</v>
      </c>
      <c r="F400" s="6" t="s">
        <v>1931</v>
      </c>
      <c r="G400" s="6" t="s">
        <v>648</v>
      </c>
      <c r="H400" s="6" t="str">
        <f aca="false">IF(D400&lt;=35,"Yes","No")</f>
        <v>Yes</v>
      </c>
      <c r="I400" s="6"/>
    </row>
    <row r="401" customFormat="false" ht="15" hidden="false" customHeight="false" outlineLevel="0" collapsed="false">
      <c r="A401" s="6" t="s">
        <v>1049</v>
      </c>
      <c r="B401" s="6" t="s">
        <v>1853</v>
      </c>
      <c r="C401" s="6" t="n">
        <v>260</v>
      </c>
      <c r="D401" s="6" t="n">
        <v>19</v>
      </c>
      <c r="E401" s="6" t="s">
        <v>881</v>
      </c>
      <c r="F401" s="6" t="s">
        <v>1903</v>
      </c>
      <c r="G401" s="6" t="s">
        <v>627</v>
      </c>
      <c r="H401" s="6" t="str">
        <f aca="false">IF(D401&lt;=35,"Yes","No")</f>
        <v>Yes</v>
      </c>
      <c r="I401" s="6"/>
    </row>
    <row r="402" customFormat="false" ht="15" hidden="false" customHeight="false" outlineLevel="0" collapsed="false">
      <c r="A402" s="6" t="s">
        <v>1520</v>
      </c>
      <c r="B402" s="6" t="s">
        <v>1853</v>
      </c>
      <c r="C402" s="6" t="n">
        <v>260</v>
      </c>
      <c r="D402" s="6" t="n">
        <v>14</v>
      </c>
      <c r="E402" s="6" t="s">
        <v>642</v>
      </c>
      <c r="F402" s="6" t="s">
        <v>1920</v>
      </c>
      <c r="G402" s="6" t="s">
        <v>627</v>
      </c>
      <c r="H402" s="6" t="str">
        <f aca="false">IF(D402&lt;=35,"Yes","No")</f>
        <v>Yes</v>
      </c>
      <c r="I402" s="6"/>
    </row>
    <row r="403" customFormat="false" ht="15" hidden="false" customHeight="false" outlineLevel="0" collapsed="false">
      <c r="A403" s="6" t="s">
        <v>1706</v>
      </c>
      <c r="B403" s="6" t="s">
        <v>1853</v>
      </c>
      <c r="C403" s="6" t="n">
        <v>260</v>
      </c>
      <c r="D403" s="6" t="n">
        <v>27</v>
      </c>
      <c r="E403" s="6" t="s">
        <v>738</v>
      </c>
      <c r="F403" s="6" t="s">
        <v>2099</v>
      </c>
      <c r="G403" s="6" t="s">
        <v>627</v>
      </c>
      <c r="H403" s="6" t="str">
        <f aca="false">IF(D403&lt;=35,"Yes","No")</f>
        <v>Yes</v>
      </c>
      <c r="I403" s="6"/>
    </row>
    <row r="404" customFormat="false" ht="15" hidden="false" customHeight="false" outlineLevel="0" collapsed="false">
      <c r="A404" s="6" t="s">
        <v>1256</v>
      </c>
      <c r="B404" s="6" t="s">
        <v>198</v>
      </c>
      <c r="C404" s="6" t="n">
        <v>260</v>
      </c>
      <c r="D404" s="6" t="n">
        <v>9</v>
      </c>
      <c r="E404" s="6" t="s">
        <v>881</v>
      </c>
      <c r="F404" s="6" t="s">
        <v>1978</v>
      </c>
      <c r="G404" s="6" t="s">
        <v>627</v>
      </c>
      <c r="H404" s="6" t="str">
        <f aca="false">IF(D404&lt;=35,"Yes","No")</f>
        <v>Yes</v>
      </c>
      <c r="I404" s="6"/>
    </row>
    <row r="405" customFormat="false" ht="15" hidden="false" customHeight="false" outlineLevel="0" collapsed="false">
      <c r="A405" s="6" t="s">
        <v>1386</v>
      </c>
      <c r="B405" s="6" t="s">
        <v>1853</v>
      </c>
      <c r="C405" s="6" t="n">
        <v>260</v>
      </c>
      <c r="D405" s="6" t="n">
        <v>7</v>
      </c>
      <c r="E405" s="6" t="s">
        <v>2100</v>
      </c>
      <c r="F405" s="6" t="s">
        <v>1931</v>
      </c>
      <c r="G405" s="6" t="s">
        <v>648</v>
      </c>
      <c r="H405" s="6" t="str">
        <f aca="false">IF(D405&lt;=35,"Yes","No")</f>
        <v>Yes</v>
      </c>
      <c r="I405" s="6"/>
    </row>
    <row r="406" customFormat="false" ht="15" hidden="false" customHeight="false" outlineLevel="0" collapsed="false">
      <c r="A406" s="6" t="s">
        <v>1413</v>
      </c>
      <c r="B406" s="6" t="s">
        <v>1853</v>
      </c>
      <c r="C406" s="6" t="n">
        <v>260</v>
      </c>
      <c r="D406" s="6" t="n">
        <v>8</v>
      </c>
      <c r="E406" s="6" t="s">
        <v>700</v>
      </c>
      <c r="F406" s="6" t="s">
        <v>2035</v>
      </c>
      <c r="G406" s="6" t="s">
        <v>648</v>
      </c>
      <c r="H406" s="6" t="str">
        <f aca="false">IF(D406&lt;=35,"Yes","No")</f>
        <v>Yes</v>
      </c>
      <c r="I406" s="6"/>
    </row>
    <row r="407" customFormat="false" ht="15" hidden="false" customHeight="false" outlineLevel="0" collapsed="false">
      <c r="A407" s="6" t="s">
        <v>829</v>
      </c>
      <c r="B407" s="6" t="s">
        <v>198</v>
      </c>
      <c r="C407" s="6" t="n">
        <v>260</v>
      </c>
      <c r="D407" s="6" t="n">
        <v>7</v>
      </c>
      <c r="E407" s="6" t="s">
        <v>2048</v>
      </c>
      <c r="F407" s="6" t="s">
        <v>1887</v>
      </c>
      <c r="G407" s="6" t="s">
        <v>648</v>
      </c>
      <c r="H407" s="6" t="str">
        <f aca="false">IF(D407&lt;=35,"Yes","No")</f>
        <v>Yes</v>
      </c>
      <c r="I407" s="6"/>
    </row>
    <row r="408" customFormat="false" ht="15" hidden="false" customHeight="false" outlineLevel="0" collapsed="false">
      <c r="A408" s="6" t="s">
        <v>2074</v>
      </c>
      <c r="B408" s="6" t="s">
        <v>1853</v>
      </c>
      <c r="C408" s="6" t="n">
        <v>260</v>
      </c>
      <c r="D408" s="6" t="n">
        <v>17</v>
      </c>
      <c r="E408" s="6" t="s">
        <v>649</v>
      </c>
      <c r="F408" s="6" t="s">
        <v>1897</v>
      </c>
      <c r="G408" s="6" t="s">
        <v>648</v>
      </c>
      <c r="H408" s="6" t="str">
        <f aca="false">IF(D408&lt;=35,"Yes","No")</f>
        <v>Yes</v>
      </c>
      <c r="I408" s="6"/>
    </row>
    <row r="409" customFormat="false" ht="15" hidden="false" customHeight="false" outlineLevel="0" collapsed="false">
      <c r="A409" s="6" t="s">
        <v>1279</v>
      </c>
      <c r="B409" s="6" t="s">
        <v>1853</v>
      </c>
      <c r="C409" s="6" t="n">
        <v>260</v>
      </c>
      <c r="D409" s="6" t="n">
        <v>11</v>
      </c>
      <c r="E409" s="6" t="s">
        <v>796</v>
      </c>
      <c r="F409" s="6" t="s">
        <v>1893</v>
      </c>
      <c r="G409" s="6" t="s">
        <v>648</v>
      </c>
      <c r="H409" s="6" t="str">
        <f aca="false">IF(D409&lt;=35,"Yes","No")</f>
        <v>Yes</v>
      </c>
      <c r="I409" s="6"/>
    </row>
    <row r="410" customFormat="false" ht="15" hidden="false" customHeight="false" outlineLevel="0" collapsed="false">
      <c r="A410" s="6" t="s">
        <v>1208</v>
      </c>
      <c r="B410" s="6" t="s">
        <v>1853</v>
      </c>
      <c r="C410" s="6" t="n">
        <v>260</v>
      </c>
      <c r="D410" s="6" t="n">
        <v>15</v>
      </c>
      <c r="E410" s="6" t="s">
        <v>796</v>
      </c>
      <c r="F410" s="6" t="s">
        <v>1897</v>
      </c>
      <c r="G410" s="6" t="s">
        <v>648</v>
      </c>
      <c r="H410" s="6" t="str">
        <f aca="false">IF(D410&lt;=35,"Yes","No")</f>
        <v>Yes</v>
      </c>
      <c r="I410" s="6"/>
    </row>
    <row r="411" customFormat="false" ht="15" hidden="false" customHeight="false" outlineLevel="0" collapsed="false">
      <c r="A411" s="6" t="s">
        <v>862</v>
      </c>
      <c r="B411" s="6" t="s">
        <v>1853</v>
      </c>
      <c r="C411" s="6" t="n">
        <v>260</v>
      </c>
      <c r="D411" s="6" t="n">
        <v>9</v>
      </c>
      <c r="E411" s="6" t="s">
        <v>642</v>
      </c>
      <c r="F411" s="6" t="s">
        <v>2061</v>
      </c>
      <c r="G411" s="6" t="s">
        <v>627</v>
      </c>
      <c r="H411" s="6" t="str">
        <f aca="false">IF(D411&lt;=35,"Yes","No")</f>
        <v>Yes</v>
      </c>
      <c r="I411" s="6"/>
    </row>
    <row r="412" customFormat="false" ht="15" hidden="false" customHeight="false" outlineLevel="0" collapsed="false">
      <c r="A412" s="6" t="s">
        <v>1389</v>
      </c>
      <c r="B412" s="6" t="s">
        <v>1853</v>
      </c>
      <c r="C412" s="6" t="n">
        <v>260</v>
      </c>
      <c r="D412" s="6" t="n">
        <v>7</v>
      </c>
      <c r="E412" s="6" t="s">
        <v>642</v>
      </c>
      <c r="F412" s="6" t="s">
        <v>2101</v>
      </c>
      <c r="G412" s="6" t="s">
        <v>627</v>
      </c>
      <c r="H412" s="6" t="str">
        <f aca="false">IF(D412&lt;=35,"Yes","No")</f>
        <v>Yes</v>
      </c>
      <c r="I412" s="6"/>
    </row>
    <row r="413" customFormat="false" ht="15" hidden="false" customHeight="false" outlineLevel="0" collapsed="false">
      <c r="A413" s="6" t="s">
        <v>1426</v>
      </c>
      <c r="B413" s="6" t="s">
        <v>1853</v>
      </c>
      <c r="C413" s="6" t="n">
        <v>260</v>
      </c>
      <c r="D413" s="6" t="n">
        <v>9</v>
      </c>
      <c r="E413" s="6" t="s">
        <v>642</v>
      </c>
      <c r="F413" s="6" t="s">
        <v>2073</v>
      </c>
      <c r="G413" s="6" t="s">
        <v>627</v>
      </c>
      <c r="H413" s="6" t="str">
        <f aca="false">IF(D413&lt;=35,"Yes","No")</f>
        <v>Yes</v>
      </c>
      <c r="I413" s="6"/>
    </row>
    <row r="414" customFormat="false" ht="15" hidden="false" customHeight="false" outlineLevel="0" collapsed="false">
      <c r="A414" s="6" t="s">
        <v>2102</v>
      </c>
      <c r="B414" s="6" t="s">
        <v>1853</v>
      </c>
      <c r="C414" s="6" t="n">
        <v>260</v>
      </c>
      <c r="D414" s="6" t="n">
        <v>9</v>
      </c>
      <c r="E414" s="6" t="s">
        <v>642</v>
      </c>
      <c r="F414" s="6" t="s">
        <v>2016</v>
      </c>
      <c r="G414" s="6" t="s">
        <v>627</v>
      </c>
      <c r="H414" s="6" t="str">
        <f aca="false">IF(D414&lt;=35,"Yes","No")</f>
        <v>Yes</v>
      </c>
      <c r="I414" s="6"/>
    </row>
    <row r="415" customFormat="false" ht="15" hidden="false" customHeight="false" outlineLevel="0" collapsed="false">
      <c r="A415" s="6" t="s">
        <v>1429</v>
      </c>
      <c r="B415" s="6" t="s">
        <v>1853</v>
      </c>
      <c r="C415" s="6" t="n">
        <v>260</v>
      </c>
      <c r="D415" s="6" t="n">
        <v>9</v>
      </c>
      <c r="E415" s="6" t="s">
        <v>642</v>
      </c>
      <c r="F415" s="6" t="s">
        <v>2103</v>
      </c>
      <c r="G415" s="6" t="s">
        <v>627</v>
      </c>
      <c r="H415" s="6" t="str">
        <f aca="false">IF(D415&lt;=35,"Yes","No")</f>
        <v>Yes</v>
      </c>
      <c r="I415" s="6"/>
    </row>
    <row r="416" customFormat="false" ht="15" hidden="false" customHeight="false" outlineLevel="0" collapsed="false">
      <c r="A416" s="6" t="s">
        <v>1156</v>
      </c>
      <c r="B416" s="6" t="s">
        <v>1853</v>
      </c>
      <c r="C416" s="6" t="n">
        <v>260</v>
      </c>
      <c r="D416" s="6" t="n">
        <v>5</v>
      </c>
      <c r="E416" s="6" t="s">
        <v>642</v>
      </c>
      <c r="F416" s="6" t="s">
        <v>2104</v>
      </c>
      <c r="G416" s="6" t="s">
        <v>627</v>
      </c>
      <c r="H416" s="6" t="str">
        <f aca="false">IF(D416&lt;=35,"Yes","No")</f>
        <v>Yes</v>
      </c>
      <c r="I416" s="6"/>
    </row>
    <row r="417" customFormat="false" ht="15" hidden="false" customHeight="false" outlineLevel="0" collapsed="false">
      <c r="A417" s="6" t="s">
        <v>1471</v>
      </c>
      <c r="B417" s="6" t="s">
        <v>1853</v>
      </c>
      <c r="C417" s="6" t="n">
        <v>260</v>
      </c>
      <c r="D417" s="6" t="n">
        <v>11</v>
      </c>
      <c r="E417" s="6" t="s">
        <v>642</v>
      </c>
      <c r="F417" s="6" t="s">
        <v>2091</v>
      </c>
      <c r="G417" s="6" t="s">
        <v>627</v>
      </c>
      <c r="H417" s="6" t="str">
        <f aca="false">IF(D417&lt;=35,"Yes","No")</f>
        <v>Yes</v>
      </c>
      <c r="I417" s="6"/>
    </row>
    <row r="418" customFormat="false" ht="15" hidden="false" customHeight="false" outlineLevel="0" collapsed="false">
      <c r="A418" s="6" t="s">
        <v>977</v>
      </c>
      <c r="B418" s="6" t="s">
        <v>1853</v>
      </c>
      <c r="C418" s="6" t="n">
        <v>260</v>
      </c>
      <c r="D418" s="6" t="n">
        <v>7</v>
      </c>
      <c r="E418" s="6" t="s">
        <v>642</v>
      </c>
      <c r="F418" s="6" t="s">
        <v>2088</v>
      </c>
      <c r="G418" s="6" t="s">
        <v>627</v>
      </c>
      <c r="H418" s="6" t="str">
        <f aca="false">IF(D418&lt;=35,"Yes","No")</f>
        <v>Yes</v>
      </c>
      <c r="I418" s="6"/>
    </row>
    <row r="419" customFormat="false" ht="15" hidden="false" customHeight="false" outlineLevel="0" collapsed="false">
      <c r="A419" s="6" t="s">
        <v>1383</v>
      </c>
      <c r="B419" s="6" t="s">
        <v>1853</v>
      </c>
      <c r="C419" s="6" t="n">
        <v>260</v>
      </c>
      <c r="D419" s="6" t="n">
        <v>20</v>
      </c>
      <c r="E419" s="6" t="s">
        <v>859</v>
      </c>
      <c r="F419" s="6" t="s">
        <v>1903</v>
      </c>
      <c r="G419" s="6" t="s">
        <v>627</v>
      </c>
      <c r="H419" s="6" t="str">
        <f aca="false">IF(D419&lt;=35,"Yes","No")</f>
        <v>Yes</v>
      </c>
      <c r="I419" s="6"/>
    </row>
    <row r="420" customFormat="false" ht="15" hidden="false" customHeight="false" outlineLevel="0" collapsed="false">
      <c r="A420" s="6" t="s">
        <v>764</v>
      </c>
      <c r="B420" s="6" t="s">
        <v>198</v>
      </c>
      <c r="C420" s="6" t="n">
        <v>260</v>
      </c>
      <c r="D420" s="6" t="n">
        <v>0</v>
      </c>
      <c r="E420" s="6" t="s">
        <v>649</v>
      </c>
      <c r="F420" s="6" t="s">
        <v>1887</v>
      </c>
      <c r="G420" s="6" t="s">
        <v>648</v>
      </c>
      <c r="H420" s="6" t="str">
        <f aca="false">IF(D420&lt;=35,"Yes","No")</f>
        <v>Yes</v>
      </c>
      <c r="I420" s="6"/>
    </row>
    <row r="421" customFormat="false" ht="15" hidden="false" customHeight="false" outlineLevel="0" collapsed="false">
      <c r="A421" s="6" t="s">
        <v>992</v>
      </c>
      <c r="B421" s="6" t="s">
        <v>198</v>
      </c>
      <c r="C421" s="6" t="n">
        <v>260</v>
      </c>
      <c r="D421" s="6" t="n">
        <v>7</v>
      </c>
      <c r="E421" s="6" t="s">
        <v>796</v>
      </c>
      <c r="F421" s="6" t="s">
        <v>2028</v>
      </c>
      <c r="G421" s="6" t="s">
        <v>648</v>
      </c>
      <c r="H421" s="6" t="str">
        <f aca="false">IF(D421&lt;=35,"Yes","No")</f>
        <v>Yes</v>
      </c>
      <c r="I421" s="6"/>
    </row>
    <row r="422" customFormat="false" ht="15" hidden="false" customHeight="false" outlineLevel="0" collapsed="false">
      <c r="A422" s="6" t="s">
        <v>1590</v>
      </c>
      <c r="B422" s="6" t="s">
        <v>198</v>
      </c>
      <c r="C422" s="6" t="n">
        <v>260</v>
      </c>
      <c r="D422" s="6" t="n">
        <v>19</v>
      </c>
      <c r="E422" s="6" t="s">
        <v>642</v>
      </c>
      <c r="F422" s="6" t="s">
        <v>2105</v>
      </c>
      <c r="G422" s="6" t="s">
        <v>627</v>
      </c>
      <c r="H422" s="6" t="str">
        <f aca="false">IF(D422&lt;=35,"Yes","No")</f>
        <v>Yes</v>
      </c>
      <c r="I422" s="6"/>
    </row>
    <row r="423" customFormat="false" ht="15" hidden="false" customHeight="false" outlineLevel="0" collapsed="false">
      <c r="A423" s="6" t="s">
        <v>2106</v>
      </c>
      <c r="B423" s="6" t="s">
        <v>1853</v>
      </c>
      <c r="C423" s="6" t="n">
        <v>250</v>
      </c>
      <c r="D423" s="6" t="n">
        <v>17</v>
      </c>
      <c r="E423" s="6" t="s">
        <v>649</v>
      </c>
      <c r="F423" s="6" t="s">
        <v>1865</v>
      </c>
      <c r="G423" s="6" t="s">
        <v>648</v>
      </c>
      <c r="H423" s="6" t="str">
        <f aca="false">IF(D423&lt;=35,"Yes","No")</f>
        <v>Yes</v>
      </c>
      <c r="I423" s="6"/>
    </row>
    <row r="424" customFormat="false" ht="15" hidden="false" customHeight="false" outlineLevel="0" collapsed="false">
      <c r="A424" s="6" t="s">
        <v>1508</v>
      </c>
      <c r="B424" s="6" t="s">
        <v>1853</v>
      </c>
      <c r="C424" s="6" t="n">
        <v>250</v>
      </c>
      <c r="D424" s="6" t="n">
        <v>14</v>
      </c>
      <c r="E424" s="6" t="s">
        <v>850</v>
      </c>
      <c r="F424" s="6" t="s">
        <v>1860</v>
      </c>
      <c r="G424" s="6" t="s">
        <v>648</v>
      </c>
      <c r="H424" s="6" t="str">
        <f aca="false">IF(D424&lt;=35,"Yes","No")</f>
        <v>Yes</v>
      </c>
      <c r="I424" s="6"/>
    </row>
    <row r="425" customFormat="false" ht="15" hidden="false" customHeight="false" outlineLevel="0" collapsed="false">
      <c r="A425" s="6" t="s">
        <v>1666</v>
      </c>
      <c r="B425" s="6" t="s">
        <v>198</v>
      </c>
      <c r="C425" s="6" t="n">
        <v>250</v>
      </c>
      <c r="D425" s="6" t="n">
        <v>31</v>
      </c>
      <c r="E425" s="6" t="s">
        <v>649</v>
      </c>
      <c r="F425" s="6" t="s">
        <v>1891</v>
      </c>
      <c r="G425" s="6" t="s">
        <v>648</v>
      </c>
      <c r="H425" s="6" t="str">
        <f aca="false">IF(D425&lt;=35,"Yes","No")</f>
        <v>Yes</v>
      </c>
      <c r="I425" s="6"/>
    </row>
    <row r="426" customFormat="false" ht="15" hidden="false" customHeight="false" outlineLevel="0" collapsed="false">
      <c r="A426" s="6" t="s">
        <v>1088</v>
      </c>
      <c r="B426" s="6" t="s">
        <v>1853</v>
      </c>
      <c r="C426" s="6" t="n">
        <v>220</v>
      </c>
      <c r="D426" s="6" t="n">
        <v>14</v>
      </c>
      <c r="E426" s="6" t="s">
        <v>649</v>
      </c>
      <c r="F426" s="6" t="s">
        <v>1889</v>
      </c>
      <c r="G426" s="6" t="s">
        <v>648</v>
      </c>
      <c r="H426" s="6" t="str">
        <f aca="false">IF(D426&lt;=35,"Yes","No")</f>
        <v>Yes</v>
      </c>
      <c r="I426" s="6"/>
    </row>
    <row r="427" customFormat="false" ht="15" hidden="false" customHeight="false" outlineLevel="0" collapsed="false">
      <c r="A427" s="6" t="s">
        <v>1550</v>
      </c>
      <c r="B427" s="6" t="s">
        <v>1853</v>
      </c>
      <c r="C427" s="6" t="n">
        <v>220</v>
      </c>
      <c r="D427" s="6" t="n">
        <v>24</v>
      </c>
      <c r="E427" s="6" t="s">
        <v>700</v>
      </c>
      <c r="F427" s="6" t="s">
        <v>1865</v>
      </c>
      <c r="G427" s="6" t="s">
        <v>648</v>
      </c>
      <c r="H427" s="6" t="str">
        <f aca="false">IF(D427&lt;=35,"Yes","No")</f>
        <v>Yes</v>
      </c>
      <c r="I427" s="6"/>
    </row>
    <row r="428" customFormat="false" ht="15" hidden="false" customHeight="false" outlineLevel="0" collapsed="false">
      <c r="A428" s="6" t="s">
        <v>1790</v>
      </c>
      <c r="B428" s="6" t="s">
        <v>1853</v>
      </c>
      <c r="C428" s="6" t="n">
        <v>220</v>
      </c>
      <c r="D428" s="6" t="n">
        <v>35</v>
      </c>
      <c r="E428" s="6" t="s">
        <v>2050</v>
      </c>
      <c r="F428" s="6" t="s">
        <v>1891</v>
      </c>
      <c r="G428" s="6" t="s">
        <v>648</v>
      </c>
      <c r="H428" s="6" t="str">
        <f aca="false">IF(D428&lt;=35,"Yes","No")</f>
        <v>Yes</v>
      </c>
      <c r="I428" s="6"/>
    </row>
    <row r="429" customFormat="false" ht="15" hidden="false" customHeight="false" outlineLevel="0" collapsed="false">
      <c r="A429" s="6" t="s">
        <v>1365</v>
      </c>
      <c r="B429" s="6" t="s">
        <v>1853</v>
      </c>
      <c r="C429" s="6" t="n">
        <v>210</v>
      </c>
      <c r="D429" s="6" t="n">
        <v>5</v>
      </c>
      <c r="E429" s="6" t="s">
        <v>1308</v>
      </c>
      <c r="F429" s="6" t="s">
        <v>1988</v>
      </c>
      <c r="G429" s="6" t="s">
        <v>648</v>
      </c>
      <c r="H429" s="6" t="str">
        <f aca="false">IF(D429&lt;=35,"Yes","No")</f>
        <v>Yes</v>
      </c>
      <c r="I429" s="6"/>
    </row>
    <row r="430" customFormat="false" ht="15" hidden="false" customHeight="false" outlineLevel="0" collapsed="false">
      <c r="A430" s="6" t="s">
        <v>1784</v>
      </c>
      <c r="B430" s="6" t="s">
        <v>1853</v>
      </c>
      <c r="C430" s="6" t="n">
        <v>210</v>
      </c>
      <c r="D430" s="6" t="n">
        <v>31</v>
      </c>
      <c r="E430" s="6" t="s">
        <v>784</v>
      </c>
      <c r="F430" s="6" t="s">
        <v>1860</v>
      </c>
      <c r="G430" s="6" t="s">
        <v>648</v>
      </c>
      <c r="H430" s="6" t="str">
        <f aca="false">IF(D430&lt;=35,"Yes","No")</f>
        <v>Yes</v>
      </c>
      <c r="I430" s="6"/>
    </row>
    <row r="431" customFormat="false" ht="15" hidden="false" customHeight="false" outlineLevel="0" collapsed="false">
      <c r="A431" s="6" t="s">
        <v>1231</v>
      </c>
      <c r="B431" s="6" t="s">
        <v>1853</v>
      </c>
      <c r="C431" s="6" t="n">
        <v>210</v>
      </c>
      <c r="D431" s="6" t="n">
        <v>17</v>
      </c>
      <c r="E431" s="6" t="s">
        <v>784</v>
      </c>
      <c r="F431" s="6" t="s">
        <v>1884</v>
      </c>
      <c r="G431" s="6" t="s">
        <v>648</v>
      </c>
      <c r="H431" s="6" t="str">
        <f aca="false">IF(D431&lt;=35,"Yes","No")</f>
        <v>Yes</v>
      </c>
      <c r="I431" s="6"/>
    </row>
    <row r="432" customFormat="false" ht="15" hidden="false" customHeight="false" outlineLevel="0" collapsed="false">
      <c r="A432" s="6" t="s">
        <v>1486</v>
      </c>
      <c r="B432" s="6" t="s">
        <v>1853</v>
      </c>
      <c r="C432" s="6" t="n">
        <v>210</v>
      </c>
      <c r="D432" s="6" t="n">
        <v>8</v>
      </c>
      <c r="E432" s="6" t="s">
        <v>784</v>
      </c>
      <c r="F432" s="6" t="s">
        <v>1887</v>
      </c>
      <c r="G432" s="6" t="s">
        <v>648</v>
      </c>
      <c r="H432" s="6" t="str">
        <f aca="false">IF(D432&lt;=35,"Yes","No")</f>
        <v>Yes</v>
      </c>
      <c r="I432" s="6"/>
    </row>
    <row r="433" customFormat="false" ht="15" hidden="false" customHeight="false" outlineLevel="0" collapsed="false">
      <c r="A433" s="6" t="s">
        <v>1539</v>
      </c>
      <c r="B433" s="6" t="s">
        <v>1853</v>
      </c>
      <c r="C433" s="6" t="n">
        <v>210</v>
      </c>
      <c r="D433" s="6" t="n">
        <v>10</v>
      </c>
      <c r="E433" s="6" t="s">
        <v>784</v>
      </c>
      <c r="F433" s="6" t="s">
        <v>1994</v>
      </c>
      <c r="G433" s="6" t="s">
        <v>648</v>
      </c>
      <c r="H433" s="6" t="str">
        <f aca="false">IF(D433&lt;=35,"Yes","No")</f>
        <v>Yes</v>
      </c>
      <c r="I433" s="6"/>
    </row>
    <row r="434" customFormat="false" ht="15" hidden="false" customHeight="false" outlineLevel="0" collapsed="false">
      <c r="A434" s="6" t="s">
        <v>1259</v>
      </c>
      <c r="B434" s="6" t="s">
        <v>1853</v>
      </c>
      <c r="C434" s="6" t="n">
        <v>210</v>
      </c>
      <c r="D434" s="6" t="n">
        <v>16</v>
      </c>
      <c r="E434" s="6" t="s">
        <v>649</v>
      </c>
      <c r="F434" s="6" t="s">
        <v>1988</v>
      </c>
      <c r="G434" s="6" t="s">
        <v>648</v>
      </c>
      <c r="H434" s="6" t="str">
        <f aca="false">IF(D434&lt;=35,"Yes","No")</f>
        <v>Yes</v>
      </c>
      <c r="I434" s="6"/>
    </row>
    <row r="435" customFormat="false" ht="15" hidden="false" customHeight="false" outlineLevel="0" collapsed="false">
      <c r="A435" s="6" t="s">
        <v>1463</v>
      </c>
      <c r="B435" s="6" t="s">
        <v>1853</v>
      </c>
      <c r="C435" s="6" t="n">
        <v>210</v>
      </c>
      <c r="D435" s="6" t="n">
        <v>9</v>
      </c>
      <c r="E435" s="6" t="s">
        <v>686</v>
      </c>
      <c r="F435" s="6" t="s">
        <v>1878</v>
      </c>
      <c r="G435" s="6" t="s">
        <v>648</v>
      </c>
      <c r="H435" s="6" t="str">
        <f aca="false">IF(D435&lt;=35,"Yes","No")</f>
        <v>Yes</v>
      </c>
      <c r="I435" s="6"/>
    </row>
    <row r="436" customFormat="false" ht="15" hidden="false" customHeight="false" outlineLevel="0" collapsed="false">
      <c r="A436" s="6" t="s">
        <v>920</v>
      </c>
      <c r="B436" s="6" t="s">
        <v>1853</v>
      </c>
      <c r="C436" s="6" t="n">
        <v>210</v>
      </c>
      <c r="D436" s="6" t="n">
        <v>11</v>
      </c>
      <c r="E436" s="6" t="s">
        <v>649</v>
      </c>
      <c r="F436" s="6" t="s">
        <v>1909</v>
      </c>
      <c r="G436" s="6" t="s">
        <v>648</v>
      </c>
      <c r="H436" s="6" t="str">
        <f aca="false">IF(D436&lt;=35,"Yes","No")</f>
        <v>Yes</v>
      </c>
      <c r="I436" s="6"/>
    </row>
    <row r="437" customFormat="false" ht="15" hidden="false" customHeight="false" outlineLevel="0" collapsed="false">
      <c r="A437" s="6" t="s">
        <v>2107</v>
      </c>
      <c r="B437" s="6" t="s">
        <v>1853</v>
      </c>
      <c r="C437" s="6" t="n">
        <v>210</v>
      </c>
      <c r="D437" s="6" t="n">
        <v>11</v>
      </c>
      <c r="E437" s="6" t="s">
        <v>649</v>
      </c>
      <c r="F437" s="6" t="s">
        <v>1882</v>
      </c>
      <c r="G437" s="6" t="s">
        <v>648</v>
      </c>
      <c r="H437" s="6" t="str">
        <f aca="false">IF(D437&lt;=35,"Yes","No")</f>
        <v>Yes</v>
      </c>
      <c r="I437" s="6"/>
    </row>
    <row r="438" customFormat="false" ht="15" hidden="false" customHeight="false" outlineLevel="0" collapsed="false">
      <c r="A438" s="6" t="s">
        <v>2108</v>
      </c>
      <c r="B438" s="6" t="s">
        <v>1853</v>
      </c>
      <c r="C438" s="6" t="n">
        <v>210</v>
      </c>
      <c r="D438" s="6" t="n">
        <v>21</v>
      </c>
      <c r="E438" s="6" t="s">
        <v>649</v>
      </c>
      <c r="F438" s="6" t="s">
        <v>1866</v>
      </c>
      <c r="G438" s="6" t="s">
        <v>648</v>
      </c>
      <c r="H438" s="6" t="str">
        <f aca="false">IF(D438&lt;=35,"Yes","No")</f>
        <v>Yes</v>
      </c>
      <c r="I438" s="6"/>
    </row>
    <row r="439" customFormat="false" ht="15" hidden="false" customHeight="false" outlineLevel="0" collapsed="false">
      <c r="A439" s="6" t="s">
        <v>1133</v>
      </c>
      <c r="B439" s="6" t="s">
        <v>1853</v>
      </c>
      <c r="C439" s="6" t="n">
        <v>210</v>
      </c>
      <c r="D439" s="6" t="n">
        <v>10</v>
      </c>
      <c r="E439" s="6" t="s">
        <v>649</v>
      </c>
      <c r="F439" s="6" t="s">
        <v>1860</v>
      </c>
      <c r="G439" s="6" t="s">
        <v>648</v>
      </c>
      <c r="H439" s="6" t="str">
        <f aca="false">IF(D439&lt;=35,"Yes","No")</f>
        <v>Yes</v>
      </c>
      <c r="I439" s="6"/>
    </row>
    <row r="440" customFormat="false" ht="15" hidden="false" customHeight="false" outlineLevel="0" collapsed="false">
      <c r="A440" s="6" t="s">
        <v>2109</v>
      </c>
      <c r="B440" s="6" t="s">
        <v>1853</v>
      </c>
      <c r="C440" s="6" t="n">
        <v>210</v>
      </c>
      <c r="D440" s="6" t="n">
        <v>6</v>
      </c>
      <c r="E440" s="6" t="s">
        <v>649</v>
      </c>
      <c r="F440" s="6" t="s">
        <v>1982</v>
      </c>
      <c r="G440" s="6" t="s">
        <v>648</v>
      </c>
      <c r="H440" s="6" t="str">
        <f aca="false">IF(D440&lt;=35,"Yes","No")</f>
        <v>Yes</v>
      </c>
      <c r="I440" s="6"/>
    </row>
    <row r="441" customFormat="false" ht="15" hidden="false" customHeight="false" outlineLevel="0" collapsed="false">
      <c r="A441" s="6" t="s">
        <v>1356</v>
      </c>
      <c r="B441" s="6" t="s">
        <v>1853</v>
      </c>
      <c r="C441" s="6" t="n">
        <v>210</v>
      </c>
      <c r="D441" s="6" t="n">
        <v>5</v>
      </c>
      <c r="E441" s="6" t="s">
        <v>700</v>
      </c>
      <c r="F441" s="6" t="s">
        <v>1963</v>
      </c>
      <c r="G441" s="6" t="s">
        <v>648</v>
      </c>
      <c r="H441" s="6" t="str">
        <f aca="false">IF(D441&lt;=35,"Yes","No")</f>
        <v>Yes</v>
      </c>
      <c r="I441" s="6"/>
    </row>
    <row r="442" customFormat="false" ht="15" hidden="false" customHeight="false" outlineLevel="0" collapsed="false">
      <c r="A442" s="6" t="s">
        <v>1276</v>
      </c>
      <c r="B442" s="6" t="s">
        <v>1853</v>
      </c>
      <c r="C442" s="6" t="n">
        <v>210</v>
      </c>
      <c r="D442" s="6" t="n">
        <v>18</v>
      </c>
      <c r="E442" s="6" t="s">
        <v>700</v>
      </c>
      <c r="F442" s="6" t="s">
        <v>2028</v>
      </c>
      <c r="G442" s="6" t="s">
        <v>648</v>
      </c>
      <c r="H442" s="6" t="str">
        <f aca="false">IF(D442&lt;=35,"Yes","No")</f>
        <v>Yes</v>
      </c>
      <c r="I442" s="6"/>
    </row>
    <row r="443" customFormat="false" ht="15" hidden="false" customHeight="false" outlineLevel="0" collapsed="false">
      <c r="A443" s="6" t="s">
        <v>1630</v>
      </c>
      <c r="B443" s="6" t="s">
        <v>1853</v>
      </c>
      <c r="C443" s="6" t="n">
        <v>210</v>
      </c>
      <c r="D443" s="6" t="n">
        <v>21</v>
      </c>
      <c r="E443" s="6" t="s">
        <v>850</v>
      </c>
      <c r="F443" s="6" t="s">
        <v>1866</v>
      </c>
      <c r="G443" s="6" t="s">
        <v>648</v>
      </c>
      <c r="H443" s="6" t="str">
        <f aca="false">IF(D443&lt;=35,"Yes","No")</f>
        <v>Yes</v>
      </c>
      <c r="I443" s="6"/>
    </row>
    <row r="444" customFormat="false" ht="15" hidden="false" customHeight="false" outlineLevel="0" collapsed="false">
      <c r="A444" s="6" t="s">
        <v>1421</v>
      </c>
      <c r="B444" s="6" t="s">
        <v>1853</v>
      </c>
      <c r="C444" s="6" t="n">
        <v>210</v>
      </c>
      <c r="D444" s="6" t="n">
        <v>5</v>
      </c>
      <c r="E444" s="6" t="s">
        <v>700</v>
      </c>
      <c r="F444" s="6" t="s">
        <v>1882</v>
      </c>
      <c r="G444" s="6" t="s">
        <v>648</v>
      </c>
      <c r="H444" s="6" t="str">
        <f aca="false">IF(D444&lt;=35,"Yes","No")</f>
        <v>Yes</v>
      </c>
      <c r="I444" s="6"/>
    </row>
    <row r="445" customFormat="false" ht="15" hidden="false" customHeight="false" outlineLevel="0" collapsed="false">
      <c r="A445" s="6" t="s">
        <v>2110</v>
      </c>
      <c r="B445" s="6" t="s">
        <v>198</v>
      </c>
      <c r="C445" s="6" t="n">
        <v>210</v>
      </c>
      <c r="D445" s="6" t="n">
        <v>9</v>
      </c>
      <c r="E445" s="6" t="s">
        <v>649</v>
      </c>
      <c r="F445" s="6" t="s">
        <v>1899</v>
      </c>
      <c r="G445" s="6" t="s">
        <v>648</v>
      </c>
      <c r="H445" s="6" t="str">
        <f aca="false">IF(D445&lt;=35,"Yes","No")</f>
        <v>Yes</v>
      </c>
      <c r="I445" s="6"/>
    </row>
    <row r="446" customFormat="false" ht="15" hidden="false" customHeight="false" outlineLevel="0" collapsed="false">
      <c r="A446" s="6" t="s">
        <v>2111</v>
      </c>
      <c r="B446" s="6" t="s">
        <v>198</v>
      </c>
      <c r="C446" s="6" t="n">
        <v>210</v>
      </c>
      <c r="D446" s="6" t="n">
        <v>12</v>
      </c>
      <c r="E446" s="6" t="s">
        <v>649</v>
      </c>
      <c r="F446" s="6" t="s">
        <v>1938</v>
      </c>
      <c r="G446" s="6" t="s">
        <v>648</v>
      </c>
      <c r="H446" s="6" t="str">
        <f aca="false">IF(D446&lt;=35,"Yes","No")</f>
        <v>Yes</v>
      </c>
      <c r="I446" s="6"/>
    </row>
    <row r="447" customFormat="false" ht="15" hidden="false" customHeight="false" outlineLevel="0" collapsed="false">
      <c r="A447" s="6" t="s">
        <v>2112</v>
      </c>
      <c r="B447" s="6" t="s">
        <v>198</v>
      </c>
      <c r="C447" s="6" t="n">
        <v>210</v>
      </c>
      <c r="D447" s="6" t="n">
        <v>7</v>
      </c>
      <c r="E447" s="6" t="s">
        <v>649</v>
      </c>
      <c r="F447" s="6" t="s">
        <v>1893</v>
      </c>
      <c r="G447" s="6" t="s">
        <v>648</v>
      </c>
      <c r="H447" s="6" t="str">
        <f aca="false">IF(D447&lt;=35,"Yes","No")</f>
        <v>Yes</v>
      </c>
      <c r="I447" s="6"/>
    </row>
    <row r="448" customFormat="false" ht="15" hidden="false" customHeight="false" outlineLevel="0" collapsed="false">
      <c r="A448" s="6" t="s">
        <v>799</v>
      </c>
      <c r="B448" s="6" t="s">
        <v>198</v>
      </c>
      <c r="C448" s="6" t="n">
        <v>210</v>
      </c>
      <c r="D448" s="6" t="n">
        <v>23</v>
      </c>
      <c r="E448" s="6" t="s">
        <v>649</v>
      </c>
      <c r="F448" s="6" t="s">
        <v>1920</v>
      </c>
      <c r="G448" s="6" t="s">
        <v>648</v>
      </c>
      <c r="H448" s="6" t="str">
        <f aca="false">IF(D448&lt;=35,"Yes","No")</f>
        <v>Yes</v>
      </c>
      <c r="I448" s="6"/>
    </row>
    <row r="449" customFormat="false" ht="15" hidden="false" customHeight="false" outlineLevel="0" collapsed="false">
      <c r="A449" s="6" t="s">
        <v>2096</v>
      </c>
      <c r="B449" s="6" t="s">
        <v>198</v>
      </c>
      <c r="C449" s="6" t="n">
        <v>210</v>
      </c>
      <c r="D449" s="6" t="n">
        <v>8</v>
      </c>
      <c r="E449" s="6" t="s">
        <v>649</v>
      </c>
      <c r="F449" s="6" t="s">
        <v>1901</v>
      </c>
      <c r="G449" s="6" t="s">
        <v>648</v>
      </c>
      <c r="H449" s="6" t="str">
        <f aca="false">IF(D449&lt;=35,"Yes","No")</f>
        <v>Yes</v>
      </c>
      <c r="I449" s="6"/>
    </row>
    <row r="450" customFormat="false" ht="15" hidden="false" customHeight="false" outlineLevel="0" collapsed="false">
      <c r="A450" s="6" t="s">
        <v>1061</v>
      </c>
      <c r="B450" s="6" t="s">
        <v>198</v>
      </c>
      <c r="C450" s="6" t="n">
        <v>210</v>
      </c>
      <c r="D450" s="6" t="n">
        <v>11</v>
      </c>
      <c r="E450" s="6" t="s">
        <v>700</v>
      </c>
      <c r="F450" s="6" t="s">
        <v>1889</v>
      </c>
      <c r="G450" s="6" t="s">
        <v>648</v>
      </c>
      <c r="H450" s="6" t="str">
        <f aca="false">IF(D450&lt;=35,"Yes","No")</f>
        <v>Yes</v>
      </c>
      <c r="I450" s="6"/>
    </row>
    <row r="451" customFormat="false" ht="15" hidden="false" customHeight="false" outlineLevel="0" collapsed="false">
      <c r="A451" s="6" t="s">
        <v>1276</v>
      </c>
      <c r="B451" s="6" t="s">
        <v>198</v>
      </c>
      <c r="C451" s="6" t="n">
        <v>210</v>
      </c>
      <c r="D451" s="6" t="n">
        <v>5</v>
      </c>
      <c r="E451" s="6" t="s">
        <v>700</v>
      </c>
      <c r="F451" s="6" t="s">
        <v>2028</v>
      </c>
      <c r="G451" s="6" t="s">
        <v>648</v>
      </c>
      <c r="H451" s="6" t="str">
        <f aca="false">IF(D451&lt;=35,"Yes","No")</f>
        <v>Yes</v>
      </c>
      <c r="I451" s="6"/>
    </row>
    <row r="452" customFormat="false" ht="15" hidden="false" customHeight="false" outlineLevel="0" collapsed="false">
      <c r="A452" s="6" t="s">
        <v>1138</v>
      </c>
      <c r="B452" s="6" t="s">
        <v>198</v>
      </c>
      <c r="C452" s="6" t="n">
        <v>210</v>
      </c>
      <c r="D452" s="6" t="n">
        <v>4</v>
      </c>
      <c r="E452" s="6" t="s">
        <v>692</v>
      </c>
      <c r="F452" s="6" t="s">
        <v>1901</v>
      </c>
      <c r="G452" s="6" t="s">
        <v>648</v>
      </c>
      <c r="H452" s="6" t="str">
        <f aca="false">IF(D452&lt;=35,"Yes","No")</f>
        <v>Yes</v>
      </c>
      <c r="I452" s="6"/>
    </row>
    <row r="453" customFormat="false" ht="15" hidden="false" customHeight="false" outlineLevel="0" collapsed="false">
      <c r="A453" s="6" t="s">
        <v>984</v>
      </c>
      <c r="B453" s="6" t="s">
        <v>1853</v>
      </c>
      <c r="C453" s="6" t="n">
        <v>210</v>
      </c>
      <c r="D453" s="6" t="n">
        <v>15</v>
      </c>
      <c r="E453" s="6" t="s">
        <v>642</v>
      </c>
      <c r="F453" s="6" t="s">
        <v>1893</v>
      </c>
      <c r="G453" s="6" t="s">
        <v>627</v>
      </c>
      <c r="H453" s="6" t="str">
        <f aca="false">IF(D453&lt;=35,"Yes","No")</f>
        <v>Yes</v>
      </c>
      <c r="I453" s="6"/>
    </row>
    <row r="454" customFormat="false" ht="15" hidden="false" customHeight="false" outlineLevel="0" collapsed="false">
      <c r="A454" s="6" t="s">
        <v>1556</v>
      </c>
      <c r="B454" s="6" t="s">
        <v>1853</v>
      </c>
      <c r="C454" s="6" t="n">
        <v>210</v>
      </c>
      <c r="D454" s="6" t="n">
        <v>11</v>
      </c>
      <c r="E454" s="6" t="s">
        <v>738</v>
      </c>
      <c r="F454" s="6" t="s">
        <v>1978</v>
      </c>
      <c r="G454" s="6" t="s">
        <v>627</v>
      </c>
      <c r="H454" s="6" t="str">
        <f aca="false">IF(D454&lt;=35,"Yes","No")</f>
        <v>Yes</v>
      </c>
      <c r="I454" s="6"/>
    </row>
    <row r="455" customFormat="false" ht="15" hidden="false" customHeight="false" outlineLevel="0" collapsed="false">
      <c r="A455" s="6" t="s">
        <v>880</v>
      </c>
      <c r="B455" s="6" t="s">
        <v>198</v>
      </c>
      <c r="C455" s="6" t="n">
        <v>210</v>
      </c>
      <c r="D455" s="6" t="n">
        <v>10</v>
      </c>
      <c r="E455" s="6" t="s">
        <v>881</v>
      </c>
      <c r="F455" s="6" t="s">
        <v>1916</v>
      </c>
      <c r="G455" s="6" t="s">
        <v>627</v>
      </c>
      <c r="H455" s="6" t="str">
        <f aca="false">IF(D455&lt;=35,"Yes","No")</f>
        <v>Yes</v>
      </c>
      <c r="I455" s="6"/>
    </row>
    <row r="456" customFormat="false" ht="15" hidden="false" customHeight="false" outlineLevel="0" collapsed="false">
      <c r="A456" s="6" t="s">
        <v>1660</v>
      </c>
      <c r="B456" s="6" t="s">
        <v>1853</v>
      </c>
      <c r="C456" s="6" t="n">
        <v>210</v>
      </c>
      <c r="D456" s="6" t="n">
        <v>16</v>
      </c>
      <c r="E456" s="6" t="s">
        <v>784</v>
      </c>
      <c r="F456" s="6" t="s">
        <v>2113</v>
      </c>
      <c r="G456" s="6" t="s">
        <v>648</v>
      </c>
      <c r="H456" s="6" t="str">
        <f aca="false">IF(D456&lt;=35,"Yes","No")</f>
        <v>Yes</v>
      </c>
      <c r="I456" s="6"/>
    </row>
    <row r="457" customFormat="false" ht="15" hidden="false" customHeight="false" outlineLevel="0" collapsed="false">
      <c r="A457" s="6" t="s">
        <v>1455</v>
      </c>
      <c r="B457" s="6" t="s">
        <v>1853</v>
      </c>
      <c r="C457" s="6" t="n">
        <v>210</v>
      </c>
      <c r="D457" s="6" t="n">
        <v>6</v>
      </c>
      <c r="E457" s="6" t="s">
        <v>2114</v>
      </c>
      <c r="F457" s="6" t="s">
        <v>2066</v>
      </c>
      <c r="G457" s="6" t="s">
        <v>648</v>
      </c>
      <c r="H457" s="6" t="str">
        <f aca="false">IF(D457&lt;=35,"Yes","No")</f>
        <v>Yes</v>
      </c>
      <c r="I457" s="6"/>
    </row>
    <row r="458" customFormat="false" ht="15" hidden="false" customHeight="false" outlineLevel="0" collapsed="false">
      <c r="A458" s="6" t="s">
        <v>1489</v>
      </c>
      <c r="B458" s="6" t="s">
        <v>1853</v>
      </c>
      <c r="C458" s="6" t="n">
        <v>210</v>
      </c>
      <c r="D458" s="6" t="n">
        <v>8</v>
      </c>
      <c r="E458" s="6" t="s">
        <v>2114</v>
      </c>
      <c r="F458" s="6" t="s">
        <v>1982</v>
      </c>
      <c r="G458" s="6" t="s">
        <v>648</v>
      </c>
      <c r="H458" s="6" t="str">
        <f aca="false">IF(D458&lt;=35,"Yes","No")</f>
        <v>Yes</v>
      </c>
      <c r="I458" s="6"/>
    </row>
    <row r="459" customFormat="false" ht="15" hidden="false" customHeight="false" outlineLevel="0" collapsed="false">
      <c r="A459" s="6" t="s">
        <v>1286</v>
      </c>
      <c r="B459" s="6" t="s">
        <v>1853</v>
      </c>
      <c r="C459" s="6" t="n">
        <v>210</v>
      </c>
      <c r="D459" s="6" t="n">
        <v>8</v>
      </c>
      <c r="E459" s="6" t="s">
        <v>2115</v>
      </c>
      <c r="F459" s="6" t="s">
        <v>1884</v>
      </c>
      <c r="G459" s="6" t="s">
        <v>648</v>
      </c>
      <c r="H459" s="6" t="str">
        <f aca="false">IF(D459&lt;=35,"Yes","No")</f>
        <v>Yes</v>
      </c>
      <c r="I459" s="6"/>
    </row>
    <row r="460" customFormat="false" ht="15" hidden="false" customHeight="false" outlineLevel="0" collapsed="false">
      <c r="A460" s="6" t="s">
        <v>1542</v>
      </c>
      <c r="B460" s="6" t="s">
        <v>1853</v>
      </c>
      <c r="C460" s="6" t="n">
        <v>210</v>
      </c>
      <c r="D460" s="6" t="n">
        <v>10</v>
      </c>
      <c r="E460" s="6" t="s">
        <v>649</v>
      </c>
      <c r="F460" s="6" t="s">
        <v>2037</v>
      </c>
      <c r="G460" s="6" t="s">
        <v>648</v>
      </c>
      <c r="H460" s="6" t="str">
        <f aca="false">IF(D460&lt;=35,"Yes","No")</f>
        <v>Yes</v>
      </c>
      <c r="I460" s="6"/>
    </row>
    <row r="461" customFormat="false" ht="15" hidden="false" customHeight="false" outlineLevel="0" collapsed="false">
      <c r="A461" s="6" t="s">
        <v>1492</v>
      </c>
      <c r="B461" s="6" t="s">
        <v>1853</v>
      </c>
      <c r="C461" s="6" t="n">
        <v>210</v>
      </c>
      <c r="D461" s="6" t="n">
        <v>8</v>
      </c>
      <c r="E461" s="6" t="s">
        <v>692</v>
      </c>
      <c r="F461" s="6" t="s">
        <v>2101</v>
      </c>
      <c r="G461" s="6" t="s">
        <v>648</v>
      </c>
      <c r="H461" s="6" t="str">
        <f aca="false">IF(D461&lt;=35,"Yes","No")</f>
        <v>Yes</v>
      </c>
      <c r="I461" s="6"/>
    </row>
    <row r="462" customFormat="false" ht="15" hidden="false" customHeight="false" outlineLevel="0" collapsed="false">
      <c r="A462" s="6" t="s">
        <v>688</v>
      </c>
      <c r="B462" s="6" t="s">
        <v>1853</v>
      </c>
      <c r="C462" s="6" t="n">
        <v>210</v>
      </c>
      <c r="D462" s="6" t="n">
        <v>12</v>
      </c>
      <c r="E462" s="6" t="s">
        <v>686</v>
      </c>
      <c r="F462" s="6" t="s">
        <v>1897</v>
      </c>
      <c r="G462" s="6" t="s">
        <v>648</v>
      </c>
      <c r="H462" s="6" t="str">
        <f aca="false">IF(D462&lt;=35,"Yes","No")</f>
        <v>Yes</v>
      </c>
      <c r="I462" s="6"/>
    </row>
    <row r="463" customFormat="false" ht="15" hidden="false" customHeight="false" outlineLevel="0" collapsed="false">
      <c r="A463" s="6" t="s">
        <v>1172</v>
      </c>
      <c r="B463" s="6" t="s">
        <v>1853</v>
      </c>
      <c r="C463" s="6" t="n">
        <v>210</v>
      </c>
      <c r="D463" s="6" t="n">
        <v>13</v>
      </c>
      <c r="E463" s="6" t="s">
        <v>700</v>
      </c>
      <c r="F463" s="6" t="s">
        <v>2061</v>
      </c>
      <c r="G463" s="6" t="s">
        <v>648</v>
      </c>
      <c r="H463" s="6" t="str">
        <f aca="false">IF(D463&lt;=35,"Yes","No")</f>
        <v>Yes</v>
      </c>
      <c r="I463" s="6"/>
    </row>
    <row r="464" customFormat="false" ht="15" hidden="false" customHeight="false" outlineLevel="0" collapsed="false">
      <c r="A464" s="6" t="s">
        <v>1041</v>
      </c>
      <c r="B464" s="6" t="s">
        <v>198</v>
      </c>
      <c r="C464" s="6" t="n">
        <v>210</v>
      </c>
      <c r="D464" s="6" t="n">
        <v>5</v>
      </c>
      <c r="E464" s="6" t="s">
        <v>1042</v>
      </c>
      <c r="F464" s="6" t="s">
        <v>1876</v>
      </c>
      <c r="G464" s="6" t="s">
        <v>648</v>
      </c>
      <c r="H464" s="6" t="str">
        <f aca="false">IF(D464&lt;=35,"Yes","No")</f>
        <v>Yes</v>
      </c>
      <c r="I464" s="6"/>
    </row>
    <row r="465" customFormat="false" ht="15" hidden="false" customHeight="false" outlineLevel="0" collapsed="false">
      <c r="A465" s="6" t="s">
        <v>945</v>
      </c>
      <c r="B465" s="6" t="s">
        <v>198</v>
      </c>
      <c r="C465" s="6" t="n">
        <v>210</v>
      </c>
      <c r="D465" s="6" t="n">
        <v>6</v>
      </c>
      <c r="E465" s="6" t="s">
        <v>946</v>
      </c>
      <c r="F465" s="6" t="s">
        <v>1931</v>
      </c>
      <c r="G465" s="6" t="s">
        <v>648</v>
      </c>
      <c r="H465" s="6" t="str">
        <f aca="false">IF(D465&lt;=35,"Yes","No")</f>
        <v>Yes</v>
      </c>
      <c r="I465" s="6"/>
    </row>
    <row r="466" customFormat="false" ht="15" hidden="false" customHeight="false" outlineLevel="0" collapsed="false">
      <c r="A466" s="6" t="s">
        <v>872</v>
      </c>
      <c r="B466" s="6" t="s">
        <v>198</v>
      </c>
      <c r="C466" s="6" t="n">
        <v>210</v>
      </c>
      <c r="D466" s="6" t="n">
        <v>0</v>
      </c>
      <c r="E466" s="6" t="s">
        <v>2034</v>
      </c>
      <c r="F466" s="6" t="s">
        <v>1893</v>
      </c>
      <c r="G466" s="6" t="s">
        <v>648</v>
      </c>
      <c r="H466" s="6" t="str">
        <f aca="false">IF(D466&lt;=35,"Yes","No")</f>
        <v>Yes</v>
      </c>
      <c r="I466" s="6"/>
    </row>
    <row r="467" customFormat="false" ht="15" hidden="false" customHeight="false" outlineLevel="0" collapsed="false">
      <c r="A467" s="6" t="s">
        <v>688</v>
      </c>
      <c r="B467" s="6" t="s">
        <v>198</v>
      </c>
      <c r="C467" s="6" t="n">
        <v>210</v>
      </c>
      <c r="D467" s="6" t="n">
        <v>5</v>
      </c>
      <c r="E467" s="6" t="s">
        <v>686</v>
      </c>
      <c r="F467" s="6" t="s">
        <v>1897</v>
      </c>
      <c r="G467" s="6" t="s">
        <v>648</v>
      </c>
      <c r="H467" s="6" t="str">
        <f aca="false">IF(D467&lt;=35,"Yes","No")</f>
        <v>Yes</v>
      </c>
      <c r="I467" s="6"/>
    </row>
    <row r="468" customFormat="false" ht="15" hidden="false" customHeight="false" outlineLevel="0" collapsed="false">
      <c r="A468" s="6" t="s">
        <v>1583</v>
      </c>
      <c r="B468" s="6" t="s">
        <v>1853</v>
      </c>
      <c r="C468" s="6" t="n">
        <v>210</v>
      </c>
      <c r="D468" s="6" t="n">
        <v>19</v>
      </c>
      <c r="E468" s="6" t="s">
        <v>796</v>
      </c>
      <c r="F468" s="6" t="s">
        <v>1952</v>
      </c>
      <c r="G468" s="6" t="s">
        <v>648</v>
      </c>
      <c r="H468" s="6" t="str">
        <f aca="false">IF(D468&lt;=35,"Yes","No")</f>
        <v>Yes</v>
      </c>
      <c r="I468" s="6"/>
    </row>
    <row r="469" customFormat="false" ht="15" hidden="false" customHeight="false" outlineLevel="0" collapsed="false">
      <c r="A469" s="6" t="s">
        <v>1516</v>
      </c>
      <c r="B469" s="6" t="s">
        <v>1853</v>
      </c>
      <c r="C469" s="6" t="n">
        <v>210</v>
      </c>
      <c r="D469" s="6" t="n">
        <v>16</v>
      </c>
      <c r="E469" s="6" t="s">
        <v>796</v>
      </c>
      <c r="F469" s="6" t="s">
        <v>2116</v>
      </c>
      <c r="G469" s="6" t="s">
        <v>648</v>
      </c>
      <c r="H469" s="6" t="str">
        <f aca="false">IF(D469&lt;=35,"Yes","No")</f>
        <v>Yes</v>
      </c>
      <c r="I469" s="6"/>
    </row>
    <row r="470" customFormat="false" ht="15" hidden="false" customHeight="false" outlineLevel="0" collapsed="false">
      <c r="A470" s="6" t="s">
        <v>1354</v>
      </c>
      <c r="B470" s="6" t="s">
        <v>1853</v>
      </c>
      <c r="C470" s="6" t="n">
        <v>210</v>
      </c>
      <c r="D470" s="6" t="n">
        <v>10</v>
      </c>
      <c r="E470" s="6" t="s">
        <v>796</v>
      </c>
      <c r="F470" s="6" t="s">
        <v>1884</v>
      </c>
      <c r="G470" s="6" t="s">
        <v>648</v>
      </c>
      <c r="H470" s="6" t="str">
        <f aca="false">IF(D470&lt;=35,"Yes","No")</f>
        <v>Yes</v>
      </c>
      <c r="I470" s="6"/>
    </row>
    <row r="471" customFormat="false" ht="15" hidden="false" customHeight="false" outlineLevel="0" collapsed="false">
      <c r="A471" s="6" t="s">
        <v>1396</v>
      </c>
      <c r="B471" s="6" t="s">
        <v>1853</v>
      </c>
      <c r="C471" s="6" t="n">
        <v>210</v>
      </c>
      <c r="D471" s="6" t="n">
        <v>5</v>
      </c>
      <c r="E471" s="6" t="s">
        <v>796</v>
      </c>
      <c r="F471" s="6" t="s">
        <v>1885</v>
      </c>
      <c r="G471" s="6" t="s">
        <v>648</v>
      </c>
      <c r="H471" s="6" t="str">
        <f aca="false">IF(D471&lt;=35,"Yes","No")</f>
        <v>Yes</v>
      </c>
      <c r="I471" s="6"/>
    </row>
    <row r="472" customFormat="false" ht="15" hidden="false" customHeight="false" outlineLevel="0" collapsed="false">
      <c r="A472" s="6" t="s">
        <v>1399</v>
      </c>
      <c r="B472" s="6" t="s">
        <v>1853</v>
      </c>
      <c r="C472" s="6" t="n">
        <v>210</v>
      </c>
      <c r="D472" s="6" t="n">
        <v>7</v>
      </c>
      <c r="E472" s="6" t="s">
        <v>796</v>
      </c>
      <c r="F472" s="6" t="s">
        <v>1916</v>
      </c>
      <c r="G472" s="6" t="s">
        <v>648</v>
      </c>
      <c r="H472" s="6" t="str">
        <f aca="false">IF(D472&lt;=35,"Yes","No")</f>
        <v>Yes</v>
      </c>
      <c r="I472" s="6"/>
    </row>
    <row r="473" customFormat="false" ht="15" hidden="false" customHeight="false" outlineLevel="0" collapsed="false">
      <c r="A473" s="6" t="s">
        <v>1468</v>
      </c>
      <c r="B473" s="6" t="s">
        <v>1853</v>
      </c>
      <c r="C473" s="6" t="n">
        <v>210</v>
      </c>
      <c r="D473" s="6" t="n">
        <v>11</v>
      </c>
      <c r="E473" s="6" t="s">
        <v>796</v>
      </c>
      <c r="F473" s="6" t="s">
        <v>1940</v>
      </c>
      <c r="G473" s="6" t="s">
        <v>648</v>
      </c>
      <c r="H473" s="6" t="str">
        <f aca="false">IF(D473&lt;=35,"Yes","No")</f>
        <v>Yes</v>
      </c>
      <c r="I473" s="6"/>
    </row>
    <row r="474" customFormat="false" ht="15" hidden="false" customHeight="false" outlineLevel="0" collapsed="false">
      <c r="A474" s="6" t="s">
        <v>2117</v>
      </c>
      <c r="B474" s="6" t="s">
        <v>1853</v>
      </c>
      <c r="C474" s="6" t="n">
        <v>210</v>
      </c>
      <c r="D474" s="6" t="n">
        <v>15</v>
      </c>
      <c r="E474" s="6" t="s">
        <v>642</v>
      </c>
      <c r="F474" s="6" t="s">
        <v>2118</v>
      </c>
      <c r="G474" s="6" t="s">
        <v>627</v>
      </c>
      <c r="H474" s="6" t="str">
        <f aca="false">IF(D474&lt;=35,"Yes","No")</f>
        <v>Yes</v>
      </c>
      <c r="I474" s="6"/>
    </row>
    <row r="475" customFormat="false" ht="15" hidden="false" customHeight="false" outlineLevel="0" collapsed="false">
      <c r="A475" s="6" t="s">
        <v>865</v>
      </c>
      <c r="B475" s="6" t="s">
        <v>1853</v>
      </c>
      <c r="C475" s="6" t="n">
        <v>210</v>
      </c>
      <c r="D475" s="6" t="n">
        <v>6</v>
      </c>
      <c r="E475" s="6" t="s">
        <v>642</v>
      </c>
      <c r="F475" s="6" t="s">
        <v>2060</v>
      </c>
      <c r="G475" s="6" t="s">
        <v>627</v>
      </c>
      <c r="H475" s="6" t="str">
        <f aca="false">IF(D475&lt;=35,"Yes","No")</f>
        <v>Yes</v>
      </c>
      <c r="I475" s="6"/>
    </row>
    <row r="476" customFormat="false" ht="15" hidden="false" customHeight="false" outlineLevel="0" collapsed="false">
      <c r="A476" s="6" t="s">
        <v>1322</v>
      </c>
      <c r="B476" s="6" t="s">
        <v>1853</v>
      </c>
      <c r="C476" s="6" t="n">
        <v>210</v>
      </c>
      <c r="D476" s="6" t="n">
        <v>6</v>
      </c>
      <c r="E476" s="6" t="s">
        <v>642</v>
      </c>
      <c r="F476" s="6" t="s">
        <v>2119</v>
      </c>
      <c r="G476" s="6" t="s">
        <v>627</v>
      </c>
      <c r="H476" s="6" t="str">
        <f aca="false">IF(D476&lt;=35,"Yes","No")</f>
        <v>Yes</v>
      </c>
      <c r="I476" s="6"/>
    </row>
    <row r="477" customFormat="false" ht="15" hidden="false" customHeight="false" outlineLevel="0" collapsed="false">
      <c r="A477" s="6" t="s">
        <v>2120</v>
      </c>
      <c r="B477" s="6" t="s">
        <v>1853</v>
      </c>
      <c r="C477" s="6" t="n">
        <v>210</v>
      </c>
      <c r="D477" s="6" t="n">
        <v>7</v>
      </c>
      <c r="E477" s="6" t="s">
        <v>642</v>
      </c>
      <c r="F477" s="6" t="s">
        <v>2121</v>
      </c>
      <c r="G477" s="6" t="s">
        <v>627</v>
      </c>
      <c r="H477" s="6" t="str">
        <f aca="false">IF(D477&lt;=35,"Yes","No")</f>
        <v>Yes</v>
      </c>
      <c r="I477" s="6"/>
    </row>
    <row r="478" customFormat="false" ht="15" hidden="false" customHeight="false" outlineLevel="0" collapsed="false">
      <c r="A478" s="6" t="s">
        <v>1405</v>
      </c>
      <c r="B478" s="6" t="s">
        <v>1853</v>
      </c>
      <c r="C478" s="6" t="n">
        <v>210</v>
      </c>
      <c r="D478" s="6" t="n">
        <v>5</v>
      </c>
      <c r="E478" s="6" t="s">
        <v>1199</v>
      </c>
      <c r="F478" s="6" t="s">
        <v>1916</v>
      </c>
      <c r="G478" s="6" t="s">
        <v>627</v>
      </c>
      <c r="H478" s="6" t="str">
        <f aca="false">IF(D478&lt;=35,"Yes","No")</f>
        <v>Yes</v>
      </c>
      <c r="I478" s="6"/>
    </row>
    <row r="479" customFormat="false" ht="15" hidden="false" customHeight="false" outlineLevel="0" collapsed="false">
      <c r="A479" s="6" t="s">
        <v>1141</v>
      </c>
      <c r="B479" s="6" t="s">
        <v>1853</v>
      </c>
      <c r="C479" s="6" t="n">
        <v>210</v>
      </c>
      <c r="D479" s="6" t="n">
        <v>6</v>
      </c>
      <c r="E479" s="6" t="s">
        <v>859</v>
      </c>
      <c r="F479" s="6" t="s">
        <v>1952</v>
      </c>
      <c r="G479" s="6" t="s">
        <v>627</v>
      </c>
      <c r="H479" s="6" t="str">
        <f aca="false">IF(D479&lt;=35,"Yes","No")</f>
        <v>Yes</v>
      </c>
      <c r="I479" s="6"/>
    </row>
    <row r="480" customFormat="false" ht="15" hidden="false" customHeight="false" outlineLevel="0" collapsed="false">
      <c r="A480" s="6" t="s">
        <v>1510</v>
      </c>
      <c r="B480" s="6" t="s">
        <v>1853</v>
      </c>
      <c r="C480" s="6" t="n">
        <v>210</v>
      </c>
      <c r="D480" s="6" t="n">
        <v>9</v>
      </c>
      <c r="E480" s="6" t="s">
        <v>859</v>
      </c>
      <c r="F480" s="6" t="s">
        <v>1916</v>
      </c>
      <c r="G480" s="6" t="s">
        <v>627</v>
      </c>
      <c r="H480" s="6" t="str">
        <f aca="false">IF(D480&lt;=35,"Yes","No")</f>
        <v>Yes</v>
      </c>
      <c r="I480" s="6"/>
    </row>
    <row r="481" customFormat="false" ht="15" hidden="false" customHeight="false" outlineLevel="0" collapsed="false">
      <c r="A481" s="6" t="s">
        <v>1208</v>
      </c>
      <c r="B481" s="6" t="s">
        <v>198</v>
      </c>
      <c r="C481" s="6" t="n">
        <v>210</v>
      </c>
      <c r="D481" s="6" t="n">
        <v>5</v>
      </c>
      <c r="E481" s="6" t="s">
        <v>796</v>
      </c>
      <c r="F481" s="6" t="s">
        <v>1897</v>
      </c>
      <c r="G481" s="6" t="s">
        <v>648</v>
      </c>
      <c r="H481" s="6" t="str">
        <f aca="false">IF(D481&lt;=35,"Yes","No")</f>
        <v>Yes</v>
      </c>
      <c r="I481" s="6"/>
    </row>
    <row r="482" customFormat="false" ht="15" hidden="false" customHeight="false" outlineLevel="0" collapsed="false">
      <c r="A482" s="6" t="s">
        <v>795</v>
      </c>
      <c r="B482" s="6" t="s">
        <v>198</v>
      </c>
      <c r="C482" s="6" t="n">
        <v>210</v>
      </c>
      <c r="D482" s="6" t="n">
        <v>6</v>
      </c>
      <c r="E482" s="6" t="s">
        <v>796</v>
      </c>
      <c r="F482" s="6" t="s">
        <v>1876</v>
      </c>
      <c r="G482" s="6" t="s">
        <v>648</v>
      </c>
      <c r="H482" s="6" t="str">
        <f aca="false">IF(D482&lt;=35,"Yes","No")</f>
        <v>Yes</v>
      </c>
      <c r="I482" s="6"/>
    </row>
    <row r="483" customFormat="false" ht="15" hidden="false" customHeight="false" outlineLevel="0" collapsed="false">
      <c r="A483" s="6" t="s">
        <v>1495</v>
      </c>
      <c r="B483" s="6" t="s">
        <v>198</v>
      </c>
      <c r="C483" s="6" t="n">
        <v>210</v>
      </c>
      <c r="D483" s="6" t="n">
        <v>8</v>
      </c>
      <c r="E483" s="6" t="s">
        <v>1199</v>
      </c>
      <c r="F483" s="6" t="s">
        <v>1954</v>
      </c>
      <c r="G483" s="6" t="s">
        <v>627</v>
      </c>
      <c r="H483" s="6" t="str">
        <f aca="false">IF(D483&lt;=35,"Yes","No")</f>
        <v>Yes</v>
      </c>
      <c r="I483" s="6"/>
    </row>
    <row r="484" customFormat="false" ht="15" hidden="false" customHeight="false" outlineLevel="0" collapsed="false">
      <c r="A484" s="6" t="s">
        <v>1141</v>
      </c>
      <c r="B484" s="6" t="s">
        <v>198</v>
      </c>
      <c r="C484" s="6" t="n">
        <v>210</v>
      </c>
      <c r="D484" s="6" t="n">
        <v>5</v>
      </c>
      <c r="E484" s="6" t="s">
        <v>859</v>
      </c>
      <c r="F484" s="6" t="s">
        <v>1952</v>
      </c>
      <c r="G484" s="6" t="s">
        <v>627</v>
      </c>
      <c r="H484" s="6" t="str">
        <f aca="false">IF(D484&lt;=35,"Yes","No")</f>
        <v>Yes</v>
      </c>
      <c r="I484" s="6"/>
    </row>
    <row r="485" customFormat="false" ht="15" hidden="false" customHeight="false" outlineLevel="0" collapsed="false">
      <c r="A485" s="6" t="s">
        <v>1566</v>
      </c>
      <c r="B485" s="6" t="s">
        <v>198</v>
      </c>
      <c r="C485" s="6" t="n">
        <v>210</v>
      </c>
      <c r="D485" s="6" t="n">
        <v>14</v>
      </c>
      <c r="E485" s="6" t="s">
        <v>859</v>
      </c>
      <c r="F485" s="6" t="s">
        <v>1978</v>
      </c>
      <c r="G485" s="6" t="s">
        <v>627</v>
      </c>
      <c r="H485" s="6" t="str">
        <f aca="false">IF(D485&lt;=35,"Yes","No")</f>
        <v>Yes</v>
      </c>
      <c r="I485" s="6"/>
    </row>
    <row r="486" customFormat="false" ht="15" hidden="false" customHeight="false" outlineLevel="0" collapsed="false">
      <c r="A486" s="6" t="s">
        <v>2122</v>
      </c>
      <c r="B486" s="6" t="s">
        <v>1853</v>
      </c>
      <c r="C486" s="6" t="n">
        <v>180</v>
      </c>
      <c r="D486" s="6" t="n">
        <v>18</v>
      </c>
      <c r="E486" s="6" t="s">
        <v>649</v>
      </c>
      <c r="F486" s="6" t="s">
        <v>1872</v>
      </c>
      <c r="G486" s="6" t="s">
        <v>648</v>
      </c>
      <c r="H486" s="6" t="str">
        <f aca="false">IF(D486&lt;=35,"Yes","No")</f>
        <v>Yes</v>
      </c>
      <c r="I486" s="6"/>
    </row>
    <row r="487" customFormat="false" ht="15" hidden="false" customHeight="false" outlineLevel="0" collapsed="false">
      <c r="A487" s="6" t="s">
        <v>1476</v>
      </c>
      <c r="B487" s="6" t="s">
        <v>1853</v>
      </c>
      <c r="C487" s="6" t="n">
        <v>180</v>
      </c>
      <c r="D487" s="6" t="n">
        <v>7</v>
      </c>
      <c r="E487" s="6" t="s">
        <v>850</v>
      </c>
      <c r="F487" s="6" t="s">
        <v>1863</v>
      </c>
      <c r="G487" s="6" t="s">
        <v>648</v>
      </c>
      <c r="H487" s="6" t="str">
        <f aca="false">IF(D487&lt;=35,"Yes","No")</f>
        <v>Yes</v>
      </c>
      <c r="I487" s="6"/>
    </row>
    <row r="488" customFormat="false" ht="15" hidden="false" customHeight="false" outlineLevel="0" collapsed="false">
      <c r="A488" s="6" t="s">
        <v>1648</v>
      </c>
      <c r="B488" s="6" t="s">
        <v>198</v>
      </c>
      <c r="C488" s="6" t="n">
        <v>180</v>
      </c>
      <c r="D488" s="6" t="n">
        <v>12</v>
      </c>
      <c r="E488" s="6" t="s">
        <v>738</v>
      </c>
      <c r="F488" s="6" t="s">
        <v>1916</v>
      </c>
      <c r="G488" s="6" t="s">
        <v>627</v>
      </c>
      <c r="H488" s="6" t="str">
        <f aca="false">IF(D488&lt;=35,"Yes","No")</f>
        <v>Yes</v>
      </c>
      <c r="I488" s="6"/>
    </row>
    <row r="489" customFormat="false" ht="15" hidden="false" customHeight="false" outlineLevel="0" collapsed="false">
      <c r="A489" s="6" t="s">
        <v>1672</v>
      </c>
      <c r="B489" s="6" t="s">
        <v>1853</v>
      </c>
      <c r="C489" s="6" t="n">
        <v>180</v>
      </c>
      <c r="D489" s="6" t="n">
        <v>13</v>
      </c>
      <c r="E489" s="6" t="s">
        <v>649</v>
      </c>
      <c r="F489" s="6" t="s">
        <v>2022</v>
      </c>
      <c r="G489" s="6" t="s">
        <v>648</v>
      </c>
      <c r="H489" s="6" t="str">
        <f aca="false">IF(D489&lt;=35,"Yes","No")</f>
        <v>Yes</v>
      </c>
      <c r="I489" s="6"/>
    </row>
    <row r="490" customFormat="false" ht="15" hidden="false" customHeight="false" outlineLevel="0" collapsed="false">
      <c r="A490" s="6" t="s">
        <v>1792</v>
      </c>
      <c r="B490" s="6" t="s">
        <v>1853</v>
      </c>
      <c r="C490" s="6" t="n">
        <v>180</v>
      </c>
      <c r="D490" s="6" t="n">
        <v>27</v>
      </c>
      <c r="E490" s="6" t="s">
        <v>2123</v>
      </c>
      <c r="F490" s="6" t="s">
        <v>1861</v>
      </c>
      <c r="G490" s="6" t="s">
        <v>648</v>
      </c>
      <c r="H490" s="6" t="str">
        <f aca="false">IF(D490&lt;=35,"Yes","No")</f>
        <v>Yes</v>
      </c>
      <c r="I490" s="6"/>
    </row>
    <row r="491" customFormat="false" ht="15" hidden="false" customHeight="false" outlineLevel="0" collapsed="false">
      <c r="A491" s="6" t="s">
        <v>1215</v>
      </c>
      <c r="B491" s="6" t="s">
        <v>198</v>
      </c>
      <c r="C491" s="6" t="n">
        <v>180</v>
      </c>
      <c r="D491" s="6" t="n">
        <v>5</v>
      </c>
      <c r="E491" s="6" t="s">
        <v>1216</v>
      </c>
      <c r="F491" s="6" t="s">
        <v>2038</v>
      </c>
      <c r="G491" s="6" t="s">
        <v>627</v>
      </c>
      <c r="H491" s="6" t="str">
        <f aca="false">IF(D491&lt;=35,"Yes","No")</f>
        <v>Yes</v>
      </c>
      <c r="I491" s="6"/>
    </row>
    <row r="492" customFormat="false" ht="15" hidden="false" customHeight="false" outlineLevel="0" collapsed="false">
      <c r="A492" s="6" t="s">
        <v>1614</v>
      </c>
      <c r="B492" s="6" t="s">
        <v>1853</v>
      </c>
      <c r="C492" s="6" t="n">
        <v>170</v>
      </c>
      <c r="D492" s="6" t="n">
        <v>10</v>
      </c>
      <c r="E492" s="6" t="s">
        <v>1308</v>
      </c>
      <c r="F492" s="6" t="s">
        <v>1905</v>
      </c>
      <c r="G492" s="6" t="s">
        <v>648</v>
      </c>
      <c r="H492" s="6" t="str">
        <f aca="false">IF(D492&lt;=35,"Yes","No")</f>
        <v>Yes</v>
      </c>
      <c r="I492" s="6"/>
    </row>
    <row r="493" customFormat="false" ht="15" hidden="false" customHeight="false" outlineLevel="0" collapsed="false">
      <c r="A493" s="6" t="s">
        <v>1813</v>
      </c>
      <c r="B493" s="6" t="s">
        <v>1853</v>
      </c>
      <c r="C493" s="6" t="n">
        <v>170</v>
      </c>
      <c r="D493" s="6" t="n">
        <v>26</v>
      </c>
      <c r="E493" s="6" t="s">
        <v>784</v>
      </c>
      <c r="F493" s="6" t="s">
        <v>1872</v>
      </c>
      <c r="G493" s="6" t="s">
        <v>648</v>
      </c>
      <c r="H493" s="6" t="str">
        <f aca="false">IF(D493&lt;=35,"Yes","No")</f>
        <v>Yes</v>
      </c>
      <c r="I493" s="6"/>
    </row>
    <row r="494" customFormat="false" ht="15" hidden="false" customHeight="false" outlineLevel="0" collapsed="false">
      <c r="A494" s="6" t="s">
        <v>2110</v>
      </c>
      <c r="B494" s="6" t="s">
        <v>1853</v>
      </c>
      <c r="C494" s="6" t="n">
        <v>170</v>
      </c>
      <c r="D494" s="6" t="n">
        <v>8</v>
      </c>
      <c r="E494" s="6" t="s">
        <v>649</v>
      </c>
      <c r="F494" s="6" t="s">
        <v>1899</v>
      </c>
      <c r="G494" s="6" t="s">
        <v>648</v>
      </c>
      <c r="H494" s="6" t="str">
        <f aca="false">IF(D494&lt;=35,"Yes","No")</f>
        <v>Yes</v>
      </c>
      <c r="I494" s="6"/>
    </row>
    <row r="495" customFormat="false" ht="15" hidden="false" customHeight="false" outlineLevel="0" collapsed="false">
      <c r="A495" s="6" t="s">
        <v>2098</v>
      </c>
      <c r="B495" s="6" t="s">
        <v>1853</v>
      </c>
      <c r="C495" s="6" t="n">
        <v>170</v>
      </c>
      <c r="D495" s="6" t="n">
        <v>7</v>
      </c>
      <c r="E495" s="6" t="s">
        <v>649</v>
      </c>
      <c r="F495" s="6" t="s">
        <v>1925</v>
      </c>
      <c r="G495" s="6" t="s">
        <v>648</v>
      </c>
      <c r="H495" s="6" t="str">
        <f aca="false">IF(D495&lt;=35,"Yes","No")</f>
        <v>Yes</v>
      </c>
      <c r="I495" s="6"/>
    </row>
    <row r="496" customFormat="false" ht="15" hidden="false" customHeight="false" outlineLevel="0" collapsed="false">
      <c r="A496" s="6" t="s">
        <v>800</v>
      </c>
      <c r="B496" s="6" t="s">
        <v>1853</v>
      </c>
      <c r="C496" s="6" t="n">
        <v>170</v>
      </c>
      <c r="D496" s="6" t="n">
        <v>18</v>
      </c>
      <c r="E496" s="6" t="s">
        <v>649</v>
      </c>
      <c r="F496" s="6" t="s">
        <v>1920</v>
      </c>
      <c r="G496" s="6" t="s">
        <v>648</v>
      </c>
      <c r="H496" s="6" t="str">
        <f aca="false">IF(D496&lt;=35,"Yes","No")</f>
        <v>Yes</v>
      </c>
      <c r="I496" s="6"/>
    </row>
    <row r="497" customFormat="false" ht="15" hidden="false" customHeight="false" outlineLevel="0" collapsed="false">
      <c r="A497" s="6" t="s">
        <v>2111</v>
      </c>
      <c r="B497" s="6" t="s">
        <v>1853</v>
      </c>
      <c r="C497" s="6" t="n">
        <v>170</v>
      </c>
      <c r="D497" s="6" t="n">
        <v>12</v>
      </c>
      <c r="E497" s="6" t="s">
        <v>649</v>
      </c>
      <c r="F497" s="6" t="s">
        <v>1938</v>
      </c>
      <c r="G497" s="6" t="s">
        <v>648</v>
      </c>
      <c r="H497" s="6" t="str">
        <f aca="false">IF(D497&lt;=35,"Yes","No")</f>
        <v>Yes</v>
      </c>
      <c r="I497" s="6"/>
    </row>
    <row r="498" customFormat="false" ht="15" hidden="false" customHeight="false" outlineLevel="0" collapsed="false">
      <c r="A498" s="6" t="s">
        <v>2124</v>
      </c>
      <c r="B498" s="6" t="s">
        <v>1853</v>
      </c>
      <c r="C498" s="6" t="n">
        <v>170</v>
      </c>
      <c r="D498" s="6" t="n">
        <v>7</v>
      </c>
      <c r="E498" s="6" t="s">
        <v>649</v>
      </c>
      <c r="F498" s="6" t="s">
        <v>1899</v>
      </c>
      <c r="G498" s="6" t="s">
        <v>648</v>
      </c>
      <c r="H498" s="6" t="str">
        <f aca="false">IF(D498&lt;=35,"Yes","No")</f>
        <v>Yes</v>
      </c>
      <c r="I498" s="6"/>
    </row>
    <row r="499" customFormat="false" ht="15" hidden="false" customHeight="false" outlineLevel="0" collapsed="false">
      <c r="A499" s="6" t="s">
        <v>2125</v>
      </c>
      <c r="B499" s="6" t="s">
        <v>1853</v>
      </c>
      <c r="C499" s="6" t="n">
        <v>170</v>
      </c>
      <c r="D499" s="6" t="n">
        <v>14</v>
      </c>
      <c r="E499" s="6" t="s">
        <v>649</v>
      </c>
      <c r="F499" s="6" t="s">
        <v>1931</v>
      </c>
      <c r="G499" s="6" t="s">
        <v>648</v>
      </c>
      <c r="H499" s="6" t="str">
        <f aca="false">IF(D499&lt;=35,"Yes","No")</f>
        <v>Yes</v>
      </c>
      <c r="I499" s="6"/>
    </row>
    <row r="500" customFormat="false" ht="15" hidden="false" customHeight="false" outlineLevel="0" collapsed="false">
      <c r="A500" s="6" t="s">
        <v>2126</v>
      </c>
      <c r="B500" s="6" t="s">
        <v>1853</v>
      </c>
      <c r="C500" s="6" t="n">
        <v>170</v>
      </c>
      <c r="D500" s="6" t="n">
        <v>5</v>
      </c>
      <c r="E500" s="6" t="s">
        <v>649</v>
      </c>
      <c r="F500" s="6" t="s">
        <v>1914</v>
      </c>
      <c r="G500" s="6" t="s">
        <v>648</v>
      </c>
      <c r="H500" s="6" t="str">
        <f aca="false">IF(D500&lt;=35,"Yes","No")</f>
        <v>Yes</v>
      </c>
      <c r="I500" s="6"/>
    </row>
    <row r="501" customFormat="false" ht="15" hidden="false" customHeight="false" outlineLevel="0" collapsed="false">
      <c r="A501" s="6" t="s">
        <v>2127</v>
      </c>
      <c r="B501" s="6" t="s">
        <v>1853</v>
      </c>
      <c r="C501" s="6" t="n">
        <v>170</v>
      </c>
      <c r="D501" s="6" t="n">
        <v>22</v>
      </c>
      <c r="E501" s="6" t="s">
        <v>649</v>
      </c>
      <c r="F501" s="6" t="s">
        <v>1933</v>
      </c>
      <c r="G501" s="6" t="s">
        <v>648</v>
      </c>
      <c r="H501" s="6" t="str">
        <f aca="false">IF(D501&lt;=35,"Yes","No")</f>
        <v>Yes</v>
      </c>
      <c r="I501" s="6"/>
    </row>
    <row r="502" customFormat="false" ht="15" hidden="false" customHeight="false" outlineLevel="0" collapsed="false">
      <c r="A502" s="6" t="s">
        <v>701</v>
      </c>
      <c r="B502" s="6" t="s">
        <v>1853</v>
      </c>
      <c r="C502" s="6" t="n">
        <v>170</v>
      </c>
      <c r="D502" s="6" t="n">
        <v>7</v>
      </c>
      <c r="E502" s="6" t="s">
        <v>700</v>
      </c>
      <c r="F502" s="6" t="s">
        <v>1895</v>
      </c>
      <c r="G502" s="6" t="s">
        <v>648</v>
      </c>
      <c r="H502" s="6" t="str">
        <f aca="false">IF(D502&lt;=35,"Yes","No")</f>
        <v>Yes</v>
      </c>
      <c r="I502" s="6"/>
    </row>
    <row r="503" customFormat="false" ht="15" hidden="false" customHeight="false" outlineLevel="0" collapsed="false">
      <c r="A503" s="6" t="s">
        <v>1408</v>
      </c>
      <c r="B503" s="6" t="s">
        <v>1853</v>
      </c>
      <c r="C503" s="6" t="n">
        <v>170</v>
      </c>
      <c r="D503" s="6" t="n">
        <v>5</v>
      </c>
      <c r="E503" s="6" t="s">
        <v>692</v>
      </c>
      <c r="F503" s="6" t="s">
        <v>1920</v>
      </c>
      <c r="G503" s="6" t="s">
        <v>648</v>
      </c>
      <c r="H503" s="6" t="str">
        <f aca="false">IF(D503&lt;=35,"Yes","No")</f>
        <v>Yes</v>
      </c>
      <c r="I503" s="6"/>
    </row>
    <row r="504" customFormat="false" ht="15" hidden="false" customHeight="false" outlineLevel="0" collapsed="false">
      <c r="A504" s="6" t="s">
        <v>1335</v>
      </c>
      <c r="B504" s="6" t="s">
        <v>1853</v>
      </c>
      <c r="C504" s="6" t="n">
        <v>170</v>
      </c>
      <c r="D504" s="6" t="n">
        <v>0</v>
      </c>
      <c r="E504" s="6" t="s">
        <v>692</v>
      </c>
      <c r="F504" s="6" t="s">
        <v>1884</v>
      </c>
      <c r="G504" s="6" t="s">
        <v>648</v>
      </c>
      <c r="H504" s="6" t="str">
        <f aca="false">IF(D504&lt;=35,"Yes","No")</f>
        <v>Yes</v>
      </c>
      <c r="I504" s="6"/>
    </row>
    <row r="505" customFormat="false" ht="15" hidden="false" customHeight="false" outlineLevel="0" collapsed="false">
      <c r="A505" s="6" t="s">
        <v>1263</v>
      </c>
      <c r="B505" s="6" t="s">
        <v>1853</v>
      </c>
      <c r="C505" s="6" t="n">
        <v>170</v>
      </c>
      <c r="D505" s="6" t="n">
        <v>6</v>
      </c>
      <c r="E505" s="6" t="s">
        <v>692</v>
      </c>
      <c r="F505" s="6" t="s">
        <v>1889</v>
      </c>
      <c r="G505" s="6" t="s">
        <v>648</v>
      </c>
      <c r="H505" s="6" t="str">
        <f aca="false">IF(D505&lt;=35,"Yes","No")</f>
        <v>Yes</v>
      </c>
      <c r="I505" s="6"/>
    </row>
    <row r="506" customFormat="false" ht="15" hidden="false" customHeight="false" outlineLevel="0" collapsed="false">
      <c r="A506" s="6" t="s">
        <v>1138</v>
      </c>
      <c r="B506" s="6" t="s">
        <v>1853</v>
      </c>
      <c r="C506" s="6" t="n">
        <v>170</v>
      </c>
      <c r="D506" s="6" t="n">
        <v>4</v>
      </c>
      <c r="E506" s="6" t="s">
        <v>692</v>
      </c>
      <c r="F506" s="6" t="s">
        <v>1901</v>
      </c>
      <c r="G506" s="6" t="s">
        <v>648</v>
      </c>
      <c r="H506" s="6" t="str">
        <f aca="false">IF(D506&lt;=35,"Yes","No")</f>
        <v>Yes</v>
      </c>
      <c r="I506" s="6"/>
    </row>
    <row r="507" customFormat="false" ht="15" hidden="false" customHeight="false" outlineLevel="0" collapsed="false">
      <c r="A507" s="6" t="s">
        <v>1529</v>
      </c>
      <c r="B507" s="6" t="s">
        <v>1853</v>
      </c>
      <c r="C507" s="6" t="n">
        <v>170</v>
      </c>
      <c r="D507" s="6" t="n">
        <v>6</v>
      </c>
      <c r="E507" s="6" t="s">
        <v>850</v>
      </c>
      <c r="F507" s="6" t="s">
        <v>2028</v>
      </c>
      <c r="G507" s="6" t="s">
        <v>648</v>
      </c>
      <c r="H507" s="6" t="str">
        <f aca="false">IF(D507&lt;=35,"Yes","No")</f>
        <v>Yes</v>
      </c>
      <c r="I507" s="6"/>
    </row>
    <row r="508" customFormat="false" ht="15" hidden="false" customHeight="false" outlineLevel="0" collapsed="false">
      <c r="A508" s="6" t="s">
        <v>1320</v>
      </c>
      <c r="B508" s="6" t="s">
        <v>198</v>
      </c>
      <c r="C508" s="6" t="n">
        <v>170</v>
      </c>
      <c r="D508" s="6" t="n">
        <v>13</v>
      </c>
      <c r="E508" s="6" t="s">
        <v>1308</v>
      </c>
      <c r="F508" s="6" t="s">
        <v>1931</v>
      </c>
      <c r="G508" s="6" t="s">
        <v>648</v>
      </c>
      <c r="H508" s="6" t="str">
        <f aca="false">IF(D508&lt;=35,"Yes","No")</f>
        <v>Yes</v>
      </c>
      <c r="I508" s="6"/>
    </row>
    <row r="509" customFormat="false" ht="15" hidden="false" customHeight="false" outlineLevel="0" collapsed="false">
      <c r="A509" s="6" t="s">
        <v>1307</v>
      </c>
      <c r="B509" s="6" t="s">
        <v>198</v>
      </c>
      <c r="C509" s="6" t="n">
        <v>170</v>
      </c>
      <c r="D509" s="6" t="n">
        <v>6</v>
      </c>
      <c r="E509" s="6" t="s">
        <v>1308</v>
      </c>
      <c r="F509" s="6" t="s">
        <v>2028</v>
      </c>
      <c r="G509" s="6" t="s">
        <v>648</v>
      </c>
      <c r="H509" s="6" t="str">
        <f aca="false">IF(D509&lt;=35,"Yes","No")</f>
        <v>Yes</v>
      </c>
      <c r="I509" s="6"/>
    </row>
    <row r="510" customFormat="false" ht="15" hidden="false" customHeight="false" outlineLevel="0" collapsed="false">
      <c r="A510" s="6" t="s">
        <v>1912</v>
      </c>
      <c r="B510" s="6" t="s">
        <v>198</v>
      </c>
      <c r="C510" s="6" t="n">
        <v>170</v>
      </c>
      <c r="D510" s="6" t="n">
        <v>23</v>
      </c>
      <c r="E510" s="6" t="s">
        <v>649</v>
      </c>
      <c r="F510" s="6" t="s">
        <v>1876</v>
      </c>
      <c r="G510" s="6" t="s">
        <v>648</v>
      </c>
      <c r="H510" s="6" t="str">
        <f aca="false">IF(D510&lt;=35,"Yes","No")</f>
        <v>Yes</v>
      </c>
      <c r="I510" s="6"/>
    </row>
    <row r="511" customFormat="false" ht="15" hidden="false" customHeight="false" outlineLevel="0" collapsed="false">
      <c r="A511" s="6" t="s">
        <v>800</v>
      </c>
      <c r="B511" s="6" t="s">
        <v>198</v>
      </c>
      <c r="C511" s="6" t="n">
        <v>170</v>
      </c>
      <c r="D511" s="6" t="n">
        <v>19</v>
      </c>
      <c r="E511" s="6" t="s">
        <v>649</v>
      </c>
      <c r="F511" s="6" t="s">
        <v>1920</v>
      </c>
      <c r="G511" s="6" t="s">
        <v>648</v>
      </c>
      <c r="H511" s="6" t="str">
        <f aca="false">IF(D511&lt;=35,"Yes","No")</f>
        <v>Yes</v>
      </c>
      <c r="I511" s="6"/>
    </row>
    <row r="512" customFormat="false" ht="15" hidden="false" customHeight="false" outlineLevel="0" collapsed="false">
      <c r="A512" s="6" t="s">
        <v>2128</v>
      </c>
      <c r="B512" s="6" t="s">
        <v>198</v>
      </c>
      <c r="C512" s="6" t="n">
        <v>170</v>
      </c>
      <c r="D512" s="6" t="n">
        <v>19</v>
      </c>
      <c r="E512" s="6" t="s">
        <v>649</v>
      </c>
      <c r="F512" s="6" t="s">
        <v>1866</v>
      </c>
      <c r="G512" s="6" t="s">
        <v>648</v>
      </c>
      <c r="H512" s="6" t="str">
        <f aca="false">IF(D512&lt;=35,"Yes","No")</f>
        <v>Yes</v>
      </c>
      <c r="I512" s="6"/>
    </row>
    <row r="513" customFormat="false" ht="15" hidden="false" customHeight="false" outlineLevel="0" collapsed="false">
      <c r="A513" s="6" t="s">
        <v>1961</v>
      </c>
      <c r="B513" s="6" t="s">
        <v>198</v>
      </c>
      <c r="C513" s="6" t="n">
        <v>170</v>
      </c>
      <c r="D513" s="6" t="n">
        <v>14</v>
      </c>
      <c r="E513" s="6" t="s">
        <v>649</v>
      </c>
      <c r="F513" s="6" t="s">
        <v>1861</v>
      </c>
      <c r="G513" s="6" t="s">
        <v>648</v>
      </c>
      <c r="H513" s="6" t="str">
        <f aca="false">IF(D513&lt;=35,"Yes","No")</f>
        <v>Yes</v>
      </c>
      <c r="I513" s="6"/>
    </row>
    <row r="514" customFormat="false" ht="15" hidden="false" customHeight="false" outlineLevel="0" collapsed="false">
      <c r="A514" s="6" t="s">
        <v>2129</v>
      </c>
      <c r="B514" s="6" t="s">
        <v>198</v>
      </c>
      <c r="C514" s="6" t="n">
        <v>170</v>
      </c>
      <c r="D514" s="6" t="n">
        <v>31</v>
      </c>
      <c r="E514" s="6" t="s">
        <v>649</v>
      </c>
      <c r="F514" s="6" t="s">
        <v>1863</v>
      </c>
      <c r="G514" s="6" t="s">
        <v>648</v>
      </c>
      <c r="H514" s="6" t="str">
        <f aca="false">IF(D514&lt;=35,"Yes","No")</f>
        <v>Yes</v>
      </c>
      <c r="I514" s="6"/>
    </row>
    <row r="515" customFormat="false" ht="15" hidden="false" customHeight="false" outlineLevel="0" collapsed="false">
      <c r="A515" s="6" t="s">
        <v>838</v>
      </c>
      <c r="B515" s="6" t="s">
        <v>198</v>
      </c>
      <c r="C515" s="6" t="n">
        <v>170</v>
      </c>
      <c r="D515" s="6" t="n">
        <v>6</v>
      </c>
      <c r="E515" s="6" t="s">
        <v>649</v>
      </c>
      <c r="F515" s="6" t="s">
        <v>1925</v>
      </c>
      <c r="G515" s="6" t="s">
        <v>648</v>
      </c>
      <c r="H515" s="6" t="str">
        <f aca="false">IF(D515&lt;=35,"Yes","No")</f>
        <v>Yes</v>
      </c>
      <c r="I515" s="6"/>
    </row>
    <row r="516" customFormat="false" ht="15" hidden="false" customHeight="false" outlineLevel="0" collapsed="false">
      <c r="A516" s="6" t="s">
        <v>2130</v>
      </c>
      <c r="B516" s="6" t="s">
        <v>198</v>
      </c>
      <c r="C516" s="6" t="n">
        <v>170</v>
      </c>
      <c r="D516" s="6" t="n">
        <v>25</v>
      </c>
      <c r="E516" s="6" t="s">
        <v>649</v>
      </c>
      <c r="F516" s="6" t="s">
        <v>1863</v>
      </c>
      <c r="G516" s="6" t="s">
        <v>648</v>
      </c>
      <c r="H516" s="6" t="str">
        <f aca="false">IF(D516&lt;=35,"Yes","No")</f>
        <v>Yes</v>
      </c>
      <c r="I516" s="6"/>
    </row>
    <row r="517" customFormat="false" ht="15" hidden="false" customHeight="false" outlineLevel="0" collapsed="false">
      <c r="A517" s="6" t="s">
        <v>998</v>
      </c>
      <c r="B517" s="6" t="s">
        <v>198</v>
      </c>
      <c r="C517" s="6" t="n">
        <v>170</v>
      </c>
      <c r="D517" s="6" t="n">
        <v>14</v>
      </c>
      <c r="E517" s="6" t="s">
        <v>649</v>
      </c>
      <c r="F517" s="6" t="s">
        <v>1938</v>
      </c>
      <c r="G517" s="6" t="s">
        <v>648</v>
      </c>
      <c r="H517" s="6" t="str">
        <f aca="false">IF(D517&lt;=35,"Yes","No")</f>
        <v>Yes</v>
      </c>
      <c r="I517" s="6"/>
    </row>
    <row r="518" customFormat="false" ht="15" hidden="false" customHeight="false" outlineLevel="0" collapsed="false">
      <c r="A518" s="6" t="s">
        <v>2131</v>
      </c>
      <c r="B518" s="6" t="s">
        <v>198</v>
      </c>
      <c r="C518" s="6" t="n">
        <v>170</v>
      </c>
      <c r="D518" s="6" t="n">
        <v>7</v>
      </c>
      <c r="E518" s="6" t="s">
        <v>649</v>
      </c>
      <c r="F518" s="6" t="s">
        <v>1887</v>
      </c>
      <c r="G518" s="6" t="s">
        <v>648</v>
      </c>
      <c r="H518" s="6" t="str">
        <f aca="false">IF(D518&lt;=35,"Yes","No")</f>
        <v>Yes</v>
      </c>
      <c r="I518" s="6"/>
    </row>
    <row r="519" customFormat="false" ht="15" hidden="false" customHeight="false" outlineLevel="0" collapsed="false">
      <c r="A519" s="6" t="s">
        <v>887</v>
      </c>
      <c r="B519" s="6" t="s">
        <v>198</v>
      </c>
      <c r="C519" s="6" t="n">
        <v>170</v>
      </c>
      <c r="D519" s="6" t="n">
        <v>15</v>
      </c>
      <c r="E519" s="6" t="s">
        <v>649</v>
      </c>
      <c r="F519" s="6" t="s">
        <v>1931</v>
      </c>
      <c r="G519" s="6" t="s">
        <v>648</v>
      </c>
      <c r="H519" s="6" t="str">
        <f aca="false">IF(D519&lt;=35,"Yes","No")</f>
        <v>Yes</v>
      </c>
      <c r="I519" s="6"/>
    </row>
    <row r="520" customFormat="false" ht="15" hidden="false" customHeight="false" outlineLevel="0" collapsed="false">
      <c r="A520" s="6" t="s">
        <v>1479</v>
      </c>
      <c r="B520" s="6" t="s">
        <v>198</v>
      </c>
      <c r="C520" s="6" t="n">
        <v>170</v>
      </c>
      <c r="D520" s="6" t="n">
        <v>4</v>
      </c>
      <c r="E520" s="6" t="s">
        <v>692</v>
      </c>
      <c r="F520" s="6" t="s">
        <v>1918</v>
      </c>
      <c r="G520" s="6" t="s">
        <v>648</v>
      </c>
      <c r="H520" s="6" t="str">
        <f aca="false">IF(D520&lt;=35,"Yes","No")</f>
        <v>Yes</v>
      </c>
      <c r="I520" s="6"/>
    </row>
    <row r="521" customFormat="false" ht="15" hidden="false" customHeight="false" outlineLevel="0" collapsed="false">
      <c r="A521" s="6" t="s">
        <v>1263</v>
      </c>
      <c r="B521" s="6" t="s">
        <v>198</v>
      </c>
      <c r="C521" s="6" t="n">
        <v>170</v>
      </c>
      <c r="D521" s="6" t="n">
        <v>8</v>
      </c>
      <c r="E521" s="6" t="s">
        <v>692</v>
      </c>
      <c r="F521" s="6" t="s">
        <v>1889</v>
      </c>
      <c r="G521" s="6" t="s">
        <v>648</v>
      </c>
      <c r="H521" s="6" t="str">
        <f aca="false">IF(D521&lt;=35,"Yes","No")</f>
        <v>Yes</v>
      </c>
      <c r="I521" s="6"/>
    </row>
    <row r="522" customFormat="false" ht="15" hidden="false" customHeight="false" outlineLevel="0" collapsed="false">
      <c r="A522" s="6" t="s">
        <v>1482</v>
      </c>
      <c r="B522" s="6" t="s">
        <v>198</v>
      </c>
      <c r="C522" s="6" t="n">
        <v>170</v>
      </c>
      <c r="D522" s="6" t="n">
        <v>4</v>
      </c>
      <c r="E522" s="6" t="s">
        <v>850</v>
      </c>
      <c r="F522" s="6" t="s">
        <v>1884</v>
      </c>
      <c r="G522" s="6" t="s">
        <v>648</v>
      </c>
      <c r="H522" s="6" t="str">
        <f aca="false">IF(D522&lt;=35,"Yes","No")</f>
        <v>Yes</v>
      </c>
      <c r="I522" s="6"/>
    </row>
    <row r="523" customFormat="false" ht="15" hidden="false" customHeight="false" outlineLevel="0" collapsed="false">
      <c r="A523" s="6" t="s">
        <v>1311</v>
      </c>
      <c r="B523" s="6" t="s">
        <v>198</v>
      </c>
      <c r="C523" s="6" t="n">
        <v>170</v>
      </c>
      <c r="D523" s="6" t="n">
        <v>6</v>
      </c>
      <c r="E523" s="6" t="s">
        <v>700</v>
      </c>
      <c r="F523" s="6" t="s">
        <v>1938</v>
      </c>
      <c r="G523" s="6" t="s">
        <v>648</v>
      </c>
      <c r="H523" s="6" t="str">
        <f aca="false">IF(D523&lt;=35,"Yes","No")</f>
        <v>Yes</v>
      </c>
      <c r="I523" s="6"/>
    </row>
    <row r="524" customFormat="false" ht="15" hidden="false" customHeight="false" outlineLevel="0" collapsed="false">
      <c r="A524" s="6" t="s">
        <v>1748</v>
      </c>
      <c r="B524" s="6" t="s">
        <v>198</v>
      </c>
      <c r="C524" s="6" t="n">
        <v>170</v>
      </c>
      <c r="D524" s="6" t="n">
        <v>26</v>
      </c>
      <c r="E524" s="6" t="s">
        <v>700</v>
      </c>
      <c r="F524" s="6" t="s">
        <v>1905</v>
      </c>
      <c r="G524" s="6" t="s">
        <v>648</v>
      </c>
      <c r="H524" s="6" t="str">
        <f aca="false">IF(D524&lt;=35,"Yes","No")</f>
        <v>Yes</v>
      </c>
      <c r="I524" s="6"/>
    </row>
    <row r="525" customFormat="false" ht="15" hidden="false" customHeight="false" outlineLevel="0" collapsed="false">
      <c r="A525" s="6" t="s">
        <v>1617</v>
      </c>
      <c r="B525" s="6" t="s">
        <v>1853</v>
      </c>
      <c r="C525" s="6" t="n">
        <v>170</v>
      </c>
      <c r="D525" s="6" t="n">
        <v>10</v>
      </c>
      <c r="E525" s="6" t="s">
        <v>881</v>
      </c>
      <c r="F525" s="6" t="s">
        <v>1893</v>
      </c>
      <c r="G525" s="6" t="s">
        <v>627</v>
      </c>
      <c r="H525" s="6" t="str">
        <f aca="false">IF(D525&lt;=35,"Yes","No")</f>
        <v>Yes</v>
      </c>
      <c r="I525" s="6"/>
    </row>
    <row r="526" customFormat="false" ht="15" hidden="false" customHeight="false" outlineLevel="0" collapsed="false">
      <c r="A526" s="6" t="s">
        <v>1484</v>
      </c>
      <c r="B526" s="6" t="s">
        <v>1853</v>
      </c>
      <c r="C526" s="6" t="n">
        <v>170</v>
      </c>
      <c r="D526" s="6" t="n">
        <v>17</v>
      </c>
      <c r="E526" s="6" t="s">
        <v>881</v>
      </c>
      <c r="F526" s="6" t="s">
        <v>1952</v>
      </c>
      <c r="G526" s="6" t="s">
        <v>627</v>
      </c>
      <c r="H526" s="6" t="str">
        <f aca="false">IF(D526&lt;=35,"Yes","No")</f>
        <v>Yes</v>
      </c>
      <c r="I526" s="6"/>
    </row>
    <row r="527" customFormat="false" ht="15" hidden="false" customHeight="false" outlineLevel="0" collapsed="false">
      <c r="A527" s="6" t="s">
        <v>1126</v>
      </c>
      <c r="B527" s="6" t="s">
        <v>1853</v>
      </c>
      <c r="C527" s="6" t="n">
        <v>170</v>
      </c>
      <c r="D527" s="6" t="n">
        <v>6</v>
      </c>
      <c r="E527" s="6" t="s">
        <v>642</v>
      </c>
      <c r="F527" s="6" t="s">
        <v>1931</v>
      </c>
      <c r="G527" s="6" t="s">
        <v>627</v>
      </c>
      <c r="H527" s="6" t="str">
        <f aca="false">IF(D527&lt;=35,"Yes","No")</f>
        <v>Yes</v>
      </c>
      <c r="I527" s="6"/>
    </row>
    <row r="528" customFormat="false" ht="15" hidden="false" customHeight="false" outlineLevel="0" collapsed="false">
      <c r="A528" s="6" t="s">
        <v>1466</v>
      </c>
      <c r="B528" s="6" t="s">
        <v>1853</v>
      </c>
      <c r="C528" s="6" t="n">
        <v>170</v>
      </c>
      <c r="D528" s="6" t="n">
        <v>6</v>
      </c>
      <c r="E528" s="6" t="s">
        <v>738</v>
      </c>
      <c r="F528" s="6" t="s">
        <v>2132</v>
      </c>
      <c r="G528" s="6" t="s">
        <v>627</v>
      </c>
      <c r="H528" s="6" t="str">
        <f aca="false">IF(D528&lt;=35,"Yes","No")</f>
        <v>Yes</v>
      </c>
      <c r="I528" s="6"/>
    </row>
    <row r="529" customFormat="false" ht="15" hidden="false" customHeight="false" outlineLevel="0" collapsed="false">
      <c r="A529" s="6" t="s">
        <v>1698</v>
      </c>
      <c r="B529" s="6" t="s">
        <v>1853</v>
      </c>
      <c r="C529" s="6" t="n">
        <v>170</v>
      </c>
      <c r="D529" s="6" t="n">
        <v>14</v>
      </c>
      <c r="E529" s="6" t="s">
        <v>738</v>
      </c>
      <c r="F529" s="6" t="s">
        <v>2133</v>
      </c>
      <c r="G529" s="6" t="s">
        <v>627</v>
      </c>
      <c r="H529" s="6" t="str">
        <f aca="false">IF(D529&lt;=35,"Yes","No")</f>
        <v>Yes</v>
      </c>
      <c r="I529" s="6"/>
    </row>
    <row r="530" customFormat="false" ht="15" hidden="false" customHeight="false" outlineLevel="0" collapsed="false">
      <c r="A530" s="6" t="s">
        <v>1484</v>
      </c>
      <c r="B530" s="6" t="s">
        <v>198</v>
      </c>
      <c r="C530" s="6" t="n">
        <v>170</v>
      </c>
      <c r="D530" s="6" t="n">
        <v>19</v>
      </c>
      <c r="E530" s="6" t="s">
        <v>881</v>
      </c>
      <c r="F530" s="6" t="s">
        <v>1952</v>
      </c>
      <c r="G530" s="6" t="s">
        <v>627</v>
      </c>
      <c r="H530" s="6" t="str">
        <f aca="false">IF(D530&lt;=35,"Yes","No")</f>
        <v>Yes</v>
      </c>
      <c r="I530" s="6"/>
    </row>
    <row r="531" customFormat="false" ht="15" hidden="false" customHeight="false" outlineLevel="0" collapsed="false">
      <c r="A531" s="6" t="s">
        <v>1531</v>
      </c>
      <c r="B531" s="6" t="s">
        <v>1853</v>
      </c>
      <c r="C531" s="6" t="n">
        <v>170</v>
      </c>
      <c r="D531" s="6" t="n">
        <v>6</v>
      </c>
      <c r="E531" s="6" t="s">
        <v>1308</v>
      </c>
      <c r="F531" s="6" t="s">
        <v>2113</v>
      </c>
      <c r="G531" s="6" t="s">
        <v>648</v>
      </c>
      <c r="H531" s="6" t="str">
        <f aca="false">IF(D531&lt;=35,"Yes","No")</f>
        <v>Yes</v>
      </c>
      <c r="I531" s="6"/>
    </row>
    <row r="532" customFormat="false" ht="15" hidden="false" customHeight="false" outlineLevel="0" collapsed="false">
      <c r="A532" s="6" t="s">
        <v>1559</v>
      </c>
      <c r="B532" s="6" t="s">
        <v>1853</v>
      </c>
      <c r="C532" s="6" t="n">
        <v>170</v>
      </c>
      <c r="D532" s="6" t="n">
        <v>7</v>
      </c>
      <c r="E532" s="6" t="s">
        <v>2134</v>
      </c>
      <c r="F532" s="6" t="s">
        <v>1938</v>
      </c>
      <c r="G532" s="6" t="s">
        <v>648</v>
      </c>
      <c r="H532" s="6" t="str">
        <f aca="false">IF(D532&lt;=35,"Yes","No")</f>
        <v>Yes</v>
      </c>
      <c r="I532" s="6"/>
    </row>
    <row r="533" customFormat="false" ht="15" hidden="false" customHeight="false" outlineLevel="0" collapsed="false">
      <c r="A533" s="6" t="s">
        <v>1569</v>
      </c>
      <c r="B533" s="6" t="s">
        <v>1853</v>
      </c>
      <c r="C533" s="6" t="n">
        <v>170</v>
      </c>
      <c r="D533" s="6" t="n">
        <v>8</v>
      </c>
      <c r="E533" s="6" t="s">
        <v>649</v>
      </c>
      <c r="F533" s="6" t="s">
        <v>1996</v>
      </c>
      <c r="G533" s="6" t="s">
        <v>648</v>
      </c>
      <c r="H533" s="6" t="str">
        <f aca="false">IF(D533&lt;=35,"Yes","No")</f>
        <v>Yes</v>
      </c>
      <c r="I533" s="6"/>
    </row>
    <row r="534" customFormat="false" ht="15" hidden="false" customHeight="false" outlineLevel="0" collapsed="false">
      <c r="A534" s="6" t="s">
        <v>1774</v>
      </c>
      <c r="B534" s="6" t="s">
        <v>198</v>
      </c>
      <c r="C534" s="6" t="n">
        <v>170</v>
      </c>
      <c r="D534" s="6" t="n">
        <v>22</v>
      </c>
      <c r="E534" s="6" t="s">
        <v>1775</v>
      </c>
      <c r="F534" s="6" t="s">
        <v>1946</v>
      </c>
      <c r="G534" s="6" t="s">
        <v>648</v>
      </c>
      <c r="H534" s="6" t="str">
        <f aca="false">IF(D534&lt;=35,"Yes","No")</f>
        <v>Yes</v>
      </c>
      <c r="I534" s="6"/>
    </row>
    <row r="535" customFormat="false" ht="15" hidden="false" customHeight="false" outlineLevel="0" collapsed="false">
      <c r="A535" s="6" t="s">
        <v>1563</v>
      </c>
      <c r="B535" s="6" t="s">
        <v>1853</v>
      </c>
      <c r="C535" s="6" t="n">
        <v>170</v>
      </c>
      <c r="D535" s="6" t="n">
        <v>7</v>
      </c>
      <c r="E535" s="6" t="s">
        <v>796</v>
      </c>
      <c r="F535" s="6" t="s">
        <v>1925</v>
      </c>
      <c r="G535" s="6" t="s">
        <v>648</v>
      </c>
      <c r="H535" s="6" t="str">
        <f aca="false">IF(D535&lt;=35,"Yes","No")</f>
        <v>Yes</v>
      </c>
      <c r="I535" s="6"/>
    </row>
    <row r="536" customFormat="false" ht="15" hidden="false" customHeight="false" outlineLevel="0" collapsed="false">
      <c r="A536" s="6" t="s">
        <v>1619</v>
      </c>
      <c r="B536" s="6" t="s">
        <v>1853</v>
      </c>
      <c r="C536" s="6" t="n">
        <v>170</v>
      </c>
      <c r="D536" s="6" t="n">
        <v>10</v>
      </c>
      <c r="E536" s="6" t="s">
        <v>796</v>
      </c>
      <c r="F536" s="6" t="s">
        <v>1882</v>
      </c>
      <c r="G536" s="6" t="s">
        <v>648</v>
      </c>
      <c r="H536" s="6" t="str">
        <f aca="false">IF(D536&lt;=35,"Yes","No")</f>
        <v>Yes</v>
      </c>
      <c r="I536" s="6"/>
    </row>
    <row r="537" customFormat="false" ht="15" hidden="false" customHeight="false" outlineLevel="0" collapsed="false">
      <c r="A537" s="6" t="s">
        <v>1763</v>
      </c>
      <c r="B537" s="6" t="s">
        <v>1853</v>
      </c>
      <c r="C537" s="6" t="n">
        <v>170</v>
      </c>
      <c r="D537" s="6" t="n">
        <v>20</v>
      </c>
      <c r="E537" s="6" t="s">
        <v>642</v>
      </c>
      <c r="F537" s="6" t="s">
        <v>2135</v>
      </c>
      <c r="G537" s="6" t="s">
        <v>627</v>
      </c>
      <c r="H537" s="6" t="str">
        <f aca="false">IF(D537&lt;=35,"Yes","No")</f>
        <v>Yes</v>
      </c>
      <c r="I537" s="6"/>
    </row>
    <row r="538" customFormat="false" ht="15" hidden="false" customHeight="false" outlineLevel="0" collapsed="false">
      <c r="A538" s="6" t="s">
        <v>936</v>
      </c>
      <c r="B538" s="6" t="s">
        <v>1853</v>
      </c>
      <c r="C538" s="6" t="n">
        <v>170</v>
      </c>
      <c r="D538" s="6" t="n">
        <v>13</v>
      </c>
      <c r="E538" s="6" t="s">
        <v>937</v>
      </c>
      <c r="F538" s="6" t="s">
        <v>1891</v>
      </c>
      <c r="G538" s="6" t="s">
        <v>627</v>
      </c>
      <c r="H538" s="6" t="str">
        <f aca="false">IF(D538&lt;=35,"Yes","No")</f>
        <v>Yes</v>
      </c>
      <c r="I538" s="6"/>
    </row>
    <row r="539" customFormat="false" ht="15" hidden="false" customHeight="false" outlineLevel="0" collapsed="false">
      <c r="A539" s="6" t="s">
        <v>1411</v>
      </c>
      <c r="B539" s="6" t="s">
        <v>1853</v>
      </c>
      <c r="C539" s="6" t="n">
        <v>170</v>
      </c>
      <c r="D539" s="6" t="n">
        <v>15</v>
      </c>
      <c r="E539" s="6" t="s">
        <v>1056</v>
      </c>
      <c r="F539" s="6" t="s">
        <v>1903</v>
      </c>
      <c r="G539" s="6" t="s">
        <v>627</v>
      </c>
      <c r="H539" s="6" t="str">
        <f aca="false">IF(D539&lt;=35,"Yes","No")</f>
        <v>Yes</v>
      </c>
      <c r="I539" s="6"/>
    </row>
    <row r="540" customFormat="false" ht="15" hidden="false" customHeight="false" outlineLevel="0" collapsed="false">
      <c r="A540" s="6" t="s">
        <v>725</v>
      </c>
      <c r="B540" s="6" t="s">
        <v>198</v>
      </c>
      <c r="C540" s="6" t="n">
        <v>170</v>
      </c>
      <c r="D540" s="6" t="n">
        <v>7</v>
      </c>
      <c r="E540" s="6" t="s">
        <v>649</v>
      </c>
      <c r="F540" s="6" t="s">
        <v>1895</v>
      </c>
      <c r="G540" s="6" t="s">
        <v>648</v>
      </c>
      <c r="H540" s="6" t="str">
        <f aca="false">IF(D540&lt;=35,"Yes","No")</f>
        <v>Yes</v>
      </c>
      <c r="I540" s="6"/>
    </row>
    <row r="541" customFormat="false" ht="15" hidden="false" customHeight="false" outlineLevel="0" collapsed="false">
      <c r="A541" s="6" t="s">
        <v>981</v>
      </c>
      <c r="B541" s="6" t="s">
        <v>198</v>
      </c>
      <c r="C541" s="6" t="n">
        <v>170</v>
      </c>
      <c r="D541" s="6" t="n">
        <v>16</v>
      </c>
      <c r="E541" s="6" t="s">
        <v>796</v>
      </c>
      <c r="F541" s="6" t="s">
        <v>1881</v>
      </c>
      <c r="G541" s="6" t="s">
        <v>648</v>
      </c>
      <c r="H541" s="6" t="str">
        <f aca="false">IF(D541&lt;=35,"Yes","No")</f>
        <v>Yes</v>
      </c>
      <c r="I541" s="6"/>
    </row>
    <row r="542" customFormat="false" ht="15" hidden="false" customHeight="false" outlineLevel="0" collapsed="false">
      <c r="A542" s="6" t="s">
        <v>1227</v>
      </c>
      <c r="B542" s="6" t="s">
        <v>198</v>
      </c>
      <c r="C542" s="6" t="n">
        <v>170</v>
      </c>
      <c r="D542" s="6" t="n">
        <v>6</v>
      </c>
      <c r="E542" s="6" t="s">
        <v>642</v>
      </c>
      <c r="F542" s="6" t="s">
        <v>2085</v>
      </c>
      <c r="G542" s="6" t="s">
        <v>627</v>
      </c>
      <c r="H542" s="6" t="str">
        <f aca="false">IF(D542&lt;=35,"Yes","No")</f>
        <v>Yes</v>
      </c>
      <c r="I542" s="6"/>
    </row>
    <row r="543" customFormat="false" ht="15" hidden="false" customHeight="false" outlineLevel="0" collapsed="false">
      <c r="A543" s="6" t="s">
        <v>1290</v>
      </c>
      <c r="B543" s="6" t="s">
        <v>198</v>
      </c>
      <c r="C543" s="6" t="n">
        <v>170</v>
      </c>
      <c r="D543" s="6" t="n">
        <v>6</v>
      </c>
      <c r="E543" s="6" t="s">
        <v>1199</v>
      </c>
      <c r="F543" s="6" t="s">
        <v>1978</v>
      </c>
      <c r="G543" s="6" t="s">
        <v>627</v>
      </c>
      <c r="H543" s="6" t="str">
        <f aca="false">IF(D543&lt;=35,"Yes","No")</f>
        <v>Yes</v>
      </c>
      <c r="I543" s="6"/>
    </row>
    <row r="544" customFormat="false" ht="15" hidden="false" customHeight="false" outlineLevel="0" collapsed="false">
      <c r="A544" s="6" t="s">
        <v>1411</v>
      </c>
      <c r="B544" s="6" t="s">
        <v>198</v>
      </c>
      <c r="C544" s="6" t="n">
        <v>170</v>
      </c>
      <c r="D544" s="6" t="n">
        <v>12</v>
      </c>
      <c r="E544" s="6" t="s">
        <v>1056</v>
      </c>
      <c r="F544" s="6" t="s">
        <v>1903</v>
      </c>
      <c r="G544" s="6" t="s">
        <v>627</v>
      </c>
      <c r="H544" s="6" t="str">
        <f aca="false">IF(D544&lt;=35,"Yes","No")</f>
        <v>Yes</v>
      </c>
      <c r="I544" s="6"/>
    </row>
    <row r="545" customFormat="false" ht="15" hidden="false" customHeight="false" outlineLevel="0" collapsed="false">
      <c r="A545" s="6" t="s">
        <v>1383</v>
      </c>
      <c r="B545" s="6" t="s">
        <v>198</v>
      </c>
      <c r="C545" s="6" t="n">
        <v>170</v>
      </c>
      <c r="D545" s="6" t="n">
        <v>15</v>
      </c>
      <c r="E545" s="6" t="s">
        <v>859</v>
      </c>
      <c r="F545" s="6" t="s">
        <v>1903</v>
      </c>
      <c r="G545" s="6" t="s">
        <v>627</v>
      </c>
      <c r="H545" s="6" t="str">
        <f aca="false">IF(D545&lt;=35,"Yes","No")</f>
        <v>Yes</v>
      </c>
      <c r="I545" s="6"/>
    </row>
    <row r="546" customFormat="false" ht="15" hidden="false" customHeight="false" outlineLevel="0" collapsed="false">
      <c r="A546" s="6" t="s">
        <v>1839</v>
      </c>
      <c r="B546" s="6" t="s">
        <v>198</v>
      </c>
      <c r="C546" s="6" t="n">
        <v>160</v>
      </c>
      <c r="D546" s="6" t="n">
        <v>13</v>
      </c>
      <c r="E546" s="6" t="s">
        <v>738</v>
      </c>
      <c r="F546" s="6" t="s">
        <v>1879</v>
      </c>
      <c r="G546" s="6" t="s">
        <v>627</v>
      </c>
      <c r="H546" s="6" t="str">
        <f aca="false">IF(D546&lt;=35,"Yes","No")</f>
        <v>Yes</v>
      </c>
      <c r="I546" s="6"/>
    </row>
    <row r="547" customFormat="false" ht="15" hidden="false" customHeight="false" outlineLevel="0" collapsed="false">
      <c r="A547" s="6" t="s">
        <v>1715</v>
      </c>
      <c r="B547" s="6" t="s">
        <v>1853</v>
      </c>
      <c r="C547" s="6" t="n">
        <v>150</v>
      </c>
      <c r="D547" s="6" t="n">
        <v>34</v>
      </c>
      <c r="E547" s="6" t="s">
        <v>649</v>
      </c>
      <c r="F547" s="6" t="s">
        <v>1918</v>
      </c>
      <c r="G547" s="6" t="s">
        <v>648</v>
      </c>
      <c r="H547" s="6" t="str">
        <f aca="false">IF(D547&lt;=35,"Yes","No")</f>
        <v>Yes</v>
      </c>
      <c r="I547" s="6"/>
    </row>
    <row r="548" customFormat="false" ht="15" hidden="false" customHeight="false" outlineLevel="0" collapsed="false">
      <c r="A548" s="6" t="s">
        <v>1760</v>
      </c>
      <c r="B548" s="6" t="s">
        <v>1853</v>
      </c>
      <c r="C548" s="6" t="n">
        <v>150</v>
      </c>
      <c r="D548" s="6" t="n">
        <v>16</v>
      </c>
      <c r="E548" s="6" t="s">
        <v>850</v>
      </c>
      <c r="F548" s="6" t="s">
        <v>1869</v>
      </c>
      <c r="G548" s="6" t="s">
        <v>648</v>
      </c>
      <c r="H548" s="6" t="str">
        <f aca="false">IF(D548&lt;=35,"Yes","No")</f>
        <v>Yes</v>
      </c>
      <c r="I548" s="6"/>
    </row>
    <row r="549" customFormat="false" ht="15" hidden="false" customHeight="false" outlineLevel="0" collapsed="false">
      <c r="A549" s="6" t="s">
        <v>1375</v>
      </c>
      <c r="B549" s="6" t="s">
        <v>1853</v>
      </c>
      <c r="C549" s="6" t="n">
        <v>150</v>
      </c>
      <c r="D549" s="6" t="n">
        <v>8</v>
      </c>
      <c r="E549" s="6" t="s">
        <v>700</v>
      </c>
      <c r="F549" s="6" t="s">
        <v>1866</v>
      </c>
      <c r="G549" s="6" t="s">
        <v>648</v>
      </c>
      <c r="H549" s="6" t="str">
        <f aca="false">IF(D549&lt;=35,"Yes","No")</f>
        <v>Yes</v>
      </c>
      <c r="I549" s="6"/>
    </row>
    <row r="550" customFormat="false" ht="15" hidden="false" customHeight="false" outlineLevel="0" collapsed="false">
      <c r="A550" s="6" t="s">
        <v>1832</v>
      </c>
      <c r="B550" s="6" t="s">
        <v>198</v>
      </c>
      <c r="C550" s="6" t="n">
        <v>150</v>
      </c>
      <c r="D550" s="6" t="n">
        <v>6</v>
      </c>
      <c r="E550" s="6" t="s">
        <v>1622</v>
      </c>
      <c r="F550" s="6" t="s">
        <v>1882</v>
      </c>
      <c r="G550" s="6" t="s">
        <v>627</v>
      </c>
      <c r="H550" s="6" t="str">
        <f aca="false">IF(D550&lt;=35,"Yes","No")</f>
        <v>Yes</v>
      </c>
      <c r="I550" s="6"/>
    </row>
    <row r="551" customFormat="false" ht="15" hidden="false" customHeight="false" outlineLevel="0" collapsed="false">
      <c r="A551" s="6" t="s">
        <v>1768</v>
      </c>
      <c r="B551" s="6" t="s">
        <v>198</v>
      </c>
      <c r="C551" s="6" t="n">
        <v>150</v>
      </c>
      <c r="D551" s="6" t="n">
        <v>17</v>
      </c>
      <c r="E551" s="6" t="s">
        <v>700</v>
      </c>
      <c r="F551" s="6" t="s">
        <v>1929</v>
      </c>
      <c r="G551" s="6" t="s">
        <v>648</v>
      </c>
      <c r="H551" s="6" t="str">
        <f aca="false">IF(D551&lt;=35,"Yes","No")</f>
        <v>Yes</v>
      </c>
      <c r="I551" s="6"/>
    </row>
    <row r="552" customFormat="false" ht="15" hidden="false" customHeight="false" outlineLevel="0" collapsed="false">
      <c r="A552" s="6" t="s">
        <v>1572</v>
      </c>
      <c r="B552" s="6" t="s">
        <v>1853</v>
      </c>
      <c r="C552" s="6" t="n">
        <v>150</v>
      </c>
      <c r="D552" s="6" t="n">
        <v>6</v>
      </c>
      <c r="E552" s="6" t="s">
        <v>642</v>
      </c>
      <c r="F552" s="6" t="s">
        <v>2136</v>
      </c>
      <c r="G552" s="6" t="s">
        <v>627</v>
      </c>
      <c r="H552" s="6" t="str">
        <f aca="false">IF(D552&lt;=35,"Yes","No")</f>
        <v>Yes</v>
      </c>
      <c r="I552" s="6"/>
    </row>
    <row r="553" customFormat="false" ht="15" hidden="false" customHeight="false" outlineLevel="0" collapsed="false">
      <c r="A553" s="6" t="s">
        <v>1598</v>
      </c>
      <c r="B553" s="6" t="s">
        <v>1853</v>
      </c>
      <c r="C553" s="6" t="n">
        <v>140</v>
      </c>
      <c r="D553" s="6" t="n">
        <v>6</v>
      </c>
      <c r="E553" s="6" t="s">
        <v>1308</v>
      </c>
      <c r="F553" s="6" t="s">
        <v>1881</v>
      </c>
      <c r="G553" s="6" t="s">
        <v>648</v>
      </c>
      <c r="H553" s="6" t="str">
        <f aca="false">IF(D553&lt;=35,"Yes","No")</f>
        <v>Yes</v>
      </c>
      <c r="I553" s="6"/>
    </row>
    <row r="554" customFormat="false" ht="15" hidden="false" customHeight="false" outlineLevel="0" collapsed="false">
      <c r="A554" s="6" t="s">
        <v>778</v>
      </c>
      <c r="B554" s="6" t="s">
        <v>1853</v>
      </c>
      <c r="C554" s="6" t="n">
        <v>140</v>
      </c>
      <c r="D554" s="6" t="n">
        <v>5</v>
      </c>
      <c r="E554" s="6" t="s">
        <v>649</v>
      </c>
      <c r="F554" s="6" t="s">
        <v>1914</v>
      </c>
      <c r="G554" s="6" t="s">
        <v>648</v>
      </c>
      <c r="H554" s="6" t="str">
        <f aca="false">IF(D554&lt;=35,"Yes","No")</f>
        <v>Yes</v>
      </c>
      <c r="I554" s="6"/>
    </row>
    <row r="555" customFormat="false" ht="15" hidden="false" customHeight="false" outlineLevel="0" collapsed="false">
      <c r="A555" s="6" t="s">
        <v>1061</v>
      </c>
      <c r="B555" s="6" t="s">
        <v>1853</v>
      </c>
      <c r="C555" s="6" t="n">
        <v>140</v>
      </c>
      <c r="D555" s="6" t="n">
        <v>21</v>
      </c>
      <c r="E555" s="6" t="s">
        <v>700</v>
      </c>
      <c r="F555" s="6" t="s">
        <v>1889</v>
      </c>
      <c r="G555" s="6" t="s">
        <v>648</v>
      </c>
      <c r="H555" s="6" t="str">
        <f aca="false">IF(D555&lt;=35,"Yes","No")</f>
        <v>Yes</v>
      </c>
      <c r="I555" s="6"/>
    </row>
    <row r="556" customFormat="false" ht="15" hidden="false" customHeight="false" outlineLevel="0" collapsed="false">
      <c r="A556" s="6" t="s">
        <v>1772</v>
      </c>
      <c r="B556" s="6" t="s">
        <v>1853</v>
      </c>
      <c r="C556" s="6" t="n">
        <v>140</v>
      </c>
      <c r="D556" s="6" t="n">
        <v>16</v>
      </c>
      <c r="E556" s="6" t="s">
        <v>692</v>
      </c>
      <c r="F556" s="6" t="s">
        <v>1860</v>
      </c>
      <c r="G556" s="6" t="s">
        <v>648</v>
      </c>
      <c r="H556" s="6" t="str">
        <f aca="false">IF(D556&lt;=35,"Yes","No")</f>
        <v>Yes</v>
      </c>
      <c r="I556" s="6"/>
    </row>
    <row r="557" customFormat="false" ht="15" hidden="false" customHeight="false" outlineLevel="0" collapsed="false">
      <c r="A557" s="6" t="s">
        <v>1449</v>
      </c>
      <c r="B557" s="6" t="s">
        <v>1853</v>
      </c>
      <c r="C557" s="6" t="n">
        <v>140</v>
      </c>
      <c r="D557" s="6" t="n">
        <v>6</v>
      </c>
      <c r="E557" s="6" t="s">
        <v>692</v>
      </c>
      <c r="F557" s="6" t="s">
        <v>1982</v>
      </c>
      <c r="G557" s="6" t="s">
        <v>648</v>
      </c>
      <c r="H557" s="6" t="str">
        <f aca="false">IF(D557&lt;=35,"Yes","No")</f>
        <v>Yes</v>
      </c>
      <c r="I557" s="6"/>
    </row>
    <row r="558" customFormat="false" ht="15" hidden="false" customHeight="false" outlineLevel="0" collapsed="false">
      <c r="A558" s="6" t="s">
        <v>1553</v>
      </c>
      <c r="B558" s="6" t="s">
        <v>1853</v>
      </c>
      <c r="C558" s="6" t="n">
        <v>140</v>
      </c>
      <c r="D558" s="6" t="n">
        <v>4</v>
      </c>
      <c r="E558" s="6" t="s">
        <v>692</v>
      </c>
      <c r="F558" s="6" t="s">
        <v>1946</v>
      </c>
      <c r="G558" s="6" t="s">
        <v>648</v>
      </c>
      <c r="H558" s="6" t="str">
        <f aca="false">IF(D558&lt;=35,"Yes","No")</f>
        <v>Yes</v>
      </c>
      <c r="I558" s="6"/>
    </row>
    <row r="559" customFormat="false" ht="15" hidden="false" customHeight="false" outlineLevel="0" collapsed="false">
      <c r="A559" s="6" t="s">
        <v>1359</v>
      </c>
      <c r="B559" s="6" t="s">
        <v>1853</v>
      </c>
      <c r="C559" s="6" t="n">
        <v>140</v>
      </c>
      <c r="D559" s="6" t="n">
        <v>5</v>
      </c>
      <c r="E559" s="6" t="s">
        <v>692</v>
      </c>
      <c r="F559" s="6" t="s">
        <v>1963</v>
      </c>
      <c r="G559" s="6" t="s">
        <v>648</v>
      </c>
      <c r="H559" s="6" t="str">
        <f aca="false">IF(D559&lt;=35,"Yes","No")</f>
        <v>Yes</v>
      </c>
      <c r="I559" s="6"/>
    </row>
    <row r="560" customFormat="false" ht="15" hidden="false" customHeight="false" outlineLevel="0" collapsed="false">
      <c r="A560" s="6" t="s">
        <v>1675</v>
      </c>
      <c r="B560" s="6" t="s">
        <v>1853</v>
      </c>
      <c r="C560" s="6" t="n">
        <v>140</v>
      </c>
      <c r="D560" s="6" t="n">
        <v>8</v>
      </c>
      <c r="E560" s="6" t="s">
        <v>700</v>
      </c>
      <c r="F560" s="6" t="s">
        <v>1909</v>
      </c>
      <c r="G560" s="6" t="s">
        <v>648</v>
      </c>
      <c r="H560" s="6" t="str">
        <f aca="false">IF(D560&lt;=35,"Yes","No")</f>
        <v>Yes</v>
      </c>
      <c r="I560" s="6"/>
    </row>
    <row r="561" customFormat="false" ht="15" hidden="false" customHeight="false" outlineLevel="0" collapsed="false">
      <c r="A561" s="6" t="s">
        <v>1757</v>
      </c>
      <c r="B561" s="6" t="s">
        <v>1853</v>
      </c>
      <c r="C561" s="6" t="n">
        <v>140</v>
      </c>
      <c r="D561" s="6" t="n">
        <v>13</v>
      </c>
      <c r="E561" s="6" t="s">
        <v>700</v>
      </c>
      <c r="F561" s="6" t="s">
        <v>1948</v>
      </c>
      <c r="G561" s="6" t="s">
        <v>648</v>
      </c>
      <c r="H561" s="6" t="str">
        <f aca="false">IF(D561&lt;=35,"Yes","No")</f>
        <v>Yes</v>
      </c>
      <c r="I561" s="6"/>
    </row>
    <row r="562" customFormat="false" ht="15" hidden="false" customHeight="false" outlineLevel="0" collapsed="false">
      <c r="A562" s="6" t="s">
        <v>1874</v>
      </c>
      <c r="B562" s="6" t="s">
        <v>198</v>
      </c>
      <c r="C562" s="6" t="n">
        <v>140</v>
      </c>
      <c r="D562" s="6" t="n">
        <v>11</v>
      </c>
      <c r="E562" s="6" t="s">
        <v>649</v>
      </c>
      <c r="F562" s="6" t="s">
        <v>1869</v>
      </c>
      <c r="G562" s="6" t="s">
        <v>648</v>
      </c>
      <c r="H562" s="6" t="str">
        <f aca="false">IF(D562&lt;=35,"Yes","No")</f>
        <v>Yes</v>
      </c>
      <c r="I562" s="6"/>
    </row>
    <row r="563" customFormat="false" ht="15" hidden="false" customHeight="false" outlineLevel="0" collapsed="false">
      <c r="A563" s="6" t="s">
        <v>2137</v>
      </c>
      <c r="B563" s="6" t="s">
        <v>198</v>
      </c>
      <c r="C563" s="6" t="n">
        <v>140</v>
      </c>
      <c r="D563" s="6" t="n">
        <v>7</v>
      </c>
      <c r="E563" s="6" t="s">
        <v>649</v>
      </c>
      <c r="F563" s="6" t="s">
        <v>1988</v>
      </c>
      <c r="G563" s="6" t="s">
        <v>648</v>
      </c>
      <c r="H563" s="6" t="str">
        <f aca="false">IF(D563&lt;=35,"Yes","No")</f>
        <v>Yes</v>
      </c>
      <c r="I563" s="6"/>
    </row>
    <row r="564" customFormat="false" ht="15" hidden="false" customHeight="false" outlineLevel="0" collapsed="false">
      <c r="A564" s="6" t="s">
        <v>2125</v>
      </c>
      <c r="B564" s="6" t="s">
        <v>198</v>
      </c>
      <c r="C564" s="6" t="n">
        <v>140</v>
      </c>
      <c r="D564" s="6" t="n">
        <v>0</v>
      </c>
      <c r="E564" s="6" t="s">
        <v>649</v>
      </c>
      <c r="F564" s="6" t="s">
        <v>1931</v>
      </c>
      <c r="G564" s="6" t="s">
        <v>648</v>
      </c>
      <c r="H564" s="6" t="str">
        <f aca="false">IF(D564&lt;=35,"Yes","No")</f>
        <v>Yes</v>
      </c>
      <c r="I564" s="6"/>
    </row>
    <row r="565" customFormat="false" ht="15" hidden="false" customHeight="false" outlineLevel="0" collapsed="false">
      <c r="A565" s="6" t="s">
        <v>2138</v>
      </c>
      <c r="B565" s="6" t="s">
        <v>198</v>
      </c>
      <c r="C565" s="6" t="n">
        <v>140</v>
      </c>
      <c r="D565" s="6" t="n">
        <v>20</v>
      </c>
      <c r="E565" s="6" t="s">
        <v>649</v>
      </c>
      <c r="F565" s="6" t="s">
        <v>1988</v>
      </c>
      <c r="G565" s="6" t="s">
        <v>648</v>
      </c>
      <c r="H565" s="6" t="str">
        <f aca="false">IF(D565&lt;=35,"Yes","No")</f>
        <v>Yes</v>
      </c>
      <c r="I565" s="6"/>
    </row>
    <row r="566" customFormat="false" ht="15" hidden="false" customHeight="false" outlineLevel="0" collapsed="false">
      <c r="A566" s="6" t="s">
        <v>2126</v>
      </c>
      <c r="B566" s="6" t="s">
        <v>198</v>
      </c>
      <c r="C566" s="6" t="n">
        <v>140</v>
      </c>
      <c r="D566" s="6" t="n">
        <v>12</v>
      </c>
      <c r="E566" s="6" t="s">
        <v>649</v>
      </c>
      <c r="F566" s="6" t="s">
        <v>1914</v>
      </c>
      <c r="G566" s="6" t="s">
        <v>648</v>
      </c>
      <c r="H566" s="6" t="str">
        <f aca="false">IF(D566&lt;=35,"Yes","No")</f>
        <v>Yes</v>
      </c>
      <c r="I566" s="6"/>
    </row>
    <row r="567" customFormat="false" ht="15" hidden="false" customHeight="false" outlineLevel="0" collapsed="false">
      <c r="A567" s="6" t="s">
        <v>1375</v>
      </c>
      <c r="B567" s="6" t="s">
        <v>198</v>
      </c>
      <c r="C567" s="6" t="n">
        <v>140</v>
      </c>
      <c r="D567" s="6" t="n">
        <v>11</v>
      </c>
      <c r="E567" s="6" t="s">
        <v>700</v>
      </c>
      <c r="F567" s="6" t="s">
        <v>1866</v>
      </c>
      <c r="G567" s="6" t="s">
        <v>648</v>
      </c>
      <c r="H567" s="6" t="str">
        <f aca="false">IF(D567&lt;=35,"Yes","No")</f>
        <v>Yes</v>
      </c>
      <c r="I567" s="6"/>
    </row>
    <row r="568" customFormat="false" ht="15" hidden="false" customHeight="false" outlineLevel="0" collapsed="false">
      <c r="A568" s="6" t="s">
        <v>1256</v>
      </c>
      <c r="B568" s="6" t="s">
        <v>1853</v>
      </c>
      <c r="C568" s="6" t="n">
        <v>140</v>
      </c>
      <c r="D568" s="6" t="n">
        <v>10</v>
      </c>
      <c r="E568" s="6" t="s">
        <v>881</v>
      </c>
      <c r="F568" s="6" t="s">
        <v>1978</v>
      </c>
      <c r="G568" s="6" t="s">
        <v>627</v>
      </c>
      <c r="H568" s="6" t="str">
        <f aca="false">IF(D568&lt;=35,"Yes","No")</f>
        <v>Yes</v>
      </c>
      <c r="I568" s="6"/>
    </row>
    <row r="569" customFormat="false" ht="15" hidden="false" customHeight="false" outlineLevel="0" collapsed="false">
      <c r="A569" s="6" t="s">
        <v>1797</v>
      </c>
      <c r="B569" s="6" t="s">
        <v>1853</v>
      </c>
      <c r="C569" s="6" t="n">
        <v>140</v>
      </c>
      <c r="D569" s="6" t="n">
        <v>19</v>
      </c>
      <c r="E569" s="6" t="s">
        <v>881</v>
      </c>
      <c r="F569" s="6" t="s">
        <v>1940</v>
      </c>
      <c r="G569" s="6" t="s">
        <v>627</v>
      </c>
      <c r="H569" s="6" t="str">
        <f aca="false">IF(D569&lt;=35,"Yes","No")</f>
        <v>Yes</v>
      </c>
      <c r="I569" s="6"/>
    </row>
    <row r="570" customFormat="false" ht="15" hidden="false" customHeight="false" outlineLevel="0" collapsed="false">
      <c r="A570" s="6" t="s">
        <v>1687</v>
      </c>
      <c r="B570" s="6" t="s">
        <v>1853</v>
      </c>
      <c r="C570" s="6" t="n">
        <v>140</v>
      </c>
      <c r="D570" s="6" t="n">
        <v>9</v>
      </c>
      <c r="E570" s="6" t="s">
        <v>642</v>
      </c>
      <c r="F570" s="6" t="s">
        <v>1865</v>
      </c>
      <c r="G570" s="6" t="s">
        <v>627</v>
      </c>
      <c r="H570" s="6" t="str">
        <f aca="false">IF(D570&lt;=35,"Yes","No")</f>
        <v>Yes</v>
      </c>
      <c r="I570" s="6"/>
    </row>
    <row r="571" customFormat="false" ht="15" hidden="false" customHeight="false" outlineLevel="0" collapsed="false">
      <c r="A571" s="6" t="s">
        <v>1799</v>
      </c>
      <c r="B571" s="6" t="s">
        <v>1853</v>
      </c>
      <c r="C571" s="6" t="n">
        <v>140</v>
      </c>
      <c r="D571" s="6" t="n">
        <v>19</v>
      </c>
      <c r="E571" s="6" t="s">
        <v>738</v>
      </c>
      <c r="F571" s="6" t="s">
        <v>1863</v>
      </c>
      <c r="G571" s="6" t="s">
        <v>627</v>
      </c>
      <c r="H571" s="6" t="str">
        <f aca="false">IF(D571&lt;=35,"Yes","No")</f>
        <v>Yes</v>
      </c>
      <c r="I571" s="6"/>
    </row>
    <row r="572" customFormat="false" ht="15" hidden="false" customHeight="false" outlineLevel="0" collapsed="false">
      <c r="A572" s="6" t="s">
        <v>1600</v>
      </c>
      <c r="B572" s="6" t="s">
        <v>1853</v>
      </c>
      <c r="C572" s="6" t="n">
        <v>140</v>
      </c>
      <c r="D572" s="6" t="n">
        <v>6</v>
      </c>
      <c r="E572" s="6" t="s">
        <v>738</v>
      </c>
      <c r="F572" s="6" t="s">
        <v>1954</v>
      </c>
      <c r="G572" s="6" t="s">
        <v>627</v>
      </c>
      <c r="H572" s="6" t="str">
        <f aca="false">IF(D572&lt;=35,"Yes","No")</f>
        <v>Yes</v>
      </c>
      <c r="I572" s="6"/>
    </row>
    <row r="573" customFormat="false" ht="15" hidden="false" customHeight="false" outlineLevel="0" collapsed="false">
      <c r="A573" s="6" t="s">
        <v>1575</v>
      </c>
      <c r="B573" s="6" t="s">
        <v>198</v>
      </c>
      <c r="C573" s="6" t="n">
        <v>140</v>
      </c>
      <c r="D573" s="6" t="n">
        <v>5</v>
      </c>
      <c r="E573" s="6" t="s">
        <v>881</v>
      </c>
      <c r="F573" s="6" t="s">
        <v>1968</v>
      </c>
      <c r="G573" s="6" t="s">
        <v>627</v>
      </c>
      <c r="H573" s="6" t="str">
        <f aca="false">IF(D573&lt;=35,"Yes","No")</f>
        <v>Yes</v>
      </c>
      <c r="I573" s="6"/>
    </row>
    <row r="574" customFormat="false" ht="15" hidden="false" customHeight="false" outlineLevel="0" collapsed="false">
      <c r="A574" s="6" t="s">
        <v>2139</v>
      </c>
      <c r="B574" s="6" t="s">
        <v>198</v>
      </c>
      <c r="C574" s="6" t="n">
        <v>140</v>
      </c>
      <c r="D574" s="6" t="n">
        <v>7</v>
      </c>
      <c r="E574" s="6" t="s">
        <v>881</v>
      </c>
      <c r="F574" s="6" t="s">
        <v>1944</v>
      </c>
      <c r="G574" s="6" t="s">
        <v>627</v>
      </c>
      <c r="H574" s="6" t="str">
        <f aca="false">IF(D574&lt;=35,"Yes","No")</f>
        <v>Yes</v>
      </c>
      <c r="I574" s="6"/>
    </row>
    <row r="575" customFormat="false" ht="15" hidden="false" customHeight="false" outlineLevel="0" collapsed="false">
      <c r="A575" s="6" t="s">
        <v>1605</v>
      </c>
      <c r="B575" s="6" t="s">
        <v>1853</v>
      </c>
      <c r="C575" s="6" t="n">
        <v>140</v>
      </c>
      <c r="D575" s="6" t="n">
        <v>6</v>
      </c>
      <c r="E575" s="6" t="s">
        <v>1042</v>
      </c>
      <c r="F575" s="6" t="s">
        <v>1881</v>
      </c>
      <c r="G575" s="6" t="s">
        <v>648</v>
      </c>
      <c r="H575" s="6" t="str">
        <f aca="false">IF(D575&lt;=35,"Yes","No")</f>
        <v>Yes</v>
      </c>
      <c r="I575" s="6"/>
    </row>
    <row r="576" customFormat="false" ht="15" hidden="false" customHeight="false" outlineLevel="0" collapsed="false">
      <c r="A576" s="6" t="s">
        <v>685</v>
      </c>
      <c r="B576" s="6" t="s">
        <v>1853</v>
      </c>
      <c r="C576" s="6" t="n">
        <v>140</v>
      </c>
      <c r="D576" s="6" t="n">
        <v>5</v>
      </c>
      <c r="E576" s="6" t="s">
        <v>686</v>
      </c>
      <c r="F576" s="6" t="s">
        <v>1897</v>
      </c>
      <c r="G576" s="6" t="s">
        <v>648</v>
      </c>
      <c r="H576" s="6" t="str">
        <f aca="false">IF(D576&lt;=35,"Yes","No")</f>
        <v>Yes</v>
      </c>
      <c r="I576" s="6"/>
    </row>
    <row r="577" customFormat="false" ht="15" hidden="false" customHeight="false" outlineLevel="0" collapsed="false">
      <c r="A577" s="6" t="s">
        <v>1607</v>
      </c>
      <c r="B577" s="6" t="s">
        <v>1853</v>
      </c>
      <c r="C577" s="6" t="n">
        <v>140</v>
      </c>
      <c r="D577" s="6" t="n">
        <v>6</v>
      </c>
      <c r="E577" s="6" t="s">
        <v>649</v>
      </c>
      <c r="F577" s="6" t="s">
        <v>2135</v>
      </c>
      <c r="G577" s="6" t="s">
        <v>648</v>
      </c>
      <c r="H577" s="6" t="str">
        <f aca="false">IF(D577&lt;=35,"Yes","No")</f>
        <v>Yes</v>
      </c>
      <c r="I577" s="6"/>
    </row>
    <row r="578" customFormat="false" ht="15" hidden="false" customHeight="false" outlineLevel="0" collapsed="false">
      <c r="A578" s="6" t="s">
        <v>1611</v>
      </c>
      <c r="B578" s="6" t="s">
        <v>1853</v>
      </c>
      <c r="C578" s="6" t="n">
        <v>140</v>
      </c>
      <c r="D578" s="6" t="n">
        <v>6</v>
      </c>
      <c r="E578" s="6" t="s">
        <v>700</v>
      </c>
      <c r="F578" s="6" t="s">
        <v>1996</v>
      </c>
      <c r="G578" s="6" t="s">
        <v>648</v>
      </c>
      <c r="H578" s="6" t="str">
        <f aca="false">IF(D578&lt;=35,"Yes","No")</f>
        <v>Yes</v>
      </c>
      <c r="I578" s="6"/>
    </row>
    <row r="579" customFormat="false" ht="15" hidden="false" customHeight="false" outlineLevel="0" collapsed="false">
      <c r="A579" s="6" t="s">
        <v>1286</v>
      </c>
      <c r="B579" s="6" t="s">
        <v>198</v>
      </c>
      <c r="C579" s="6" t="n">
        <v>140</v>
      </c>
      <c r="D579" s="6" t="n">
        <v>9</v>
      </c>
      <c r="E579" s="6" t="s">
        <v>2115</v>
      </c>
      <c r="F579" s="6" t="s">
        <v>1884</v>
      </c>
      <c r="G579" s="6" t="s">
        <v>648</v>
      </c>
      <c r="H579" s="6" t="str">
        <f aca="false">IF(D579&lt;=35,"Yes","No")</f>
        <v>Yes</v>
      </c>
      <c r="I579" s="6"/>
    </row>
    <row r="580" customFormat="false" ht="15" hidden="false" customHeight="false" outlineLevel="0" collapsed="false">
      <c r="A580" s="6" t="s">
        <v>742</v>
      </c>
      <c r="B580" s="6" t="s">
        <v>198</v>
      </c>
      <c r="C580" s="6" t="n">
        <v>140</v>
      </c>
      <c r="D580" s="6" t="n">
        <v>6</v>
      </c>
      <c r="E580" s="6" t="s">
        <v>642</v>
      </c>
      <c r="F580" s="6" t="s">
        <v>1876</v>
      </c>
      <c r="G580" s="6" t="s">
        <v>627</v>
      </c>
      <c r="H580" s="6" t="str">
        <f aca="false">IF(D580&lt;=35,"Yes","No")</f>
        <v>Yes</v>
      </c>
      <c r="I580" s="6"/>
    </row>
    <row r="581" customFormat="false" ht="15" hidden="false" customHeight="false" outlineLevel="0" collapsed="false">
      <c r="A581" s="6" t="s">
        <v>807</v>
      </c>
      <c r="B581" s="6" t="s">
        <v>198</v>
      </c>
      <c r="C581" s="6" t="n">
        <v>140</v>
      </c>
      <c r="D581" s="6" t="n">
        <v>8</v>
      </c>
      <c r="E581" s="6" t="s">
        <v>642</v>
      </c>
      <c r="F581" s="6" t="s">
        <v>1878</v>
      </c>
      <c r="G581" s="6" t="s">
        <v>627</v>
      </c>
      <c r="H581" s="6" t="str">
        <f aca="false">IF(D581&lt;=35,"Yes","No")</f>
        <v>Yes</v>
      </c>
      <c r="I581" s="6"/>
    </row>
    <row r="582" customFormat="false" ht="15" hidden="false" customHeight="false" outlineLevel="0" collapsed="false">
      <c r="A582" s="6" t="s">
        <v>2140</v>
      </c>
      <c r="B582" s="6" t="s">
        <v>1853</v>
      </c>
      <c r="C582" s="6" t="n">
        <v>140</v>
      </c>
      <c r="D582" s="6" t="n">
        <v>21</v>
      </c>
      <c r="E582" s="6" t="s">
        <v>649</v>
      </c>
      <c r="F582" s="6" t="s">
        <v>1931</v>
      </c>
      <c r="G582" s="6" t="s">
        <v>648</v>
      </c>
      <c r="H582" s="6" t="str">
        <f aca="false">IF(D582&lt;=35,"Yes","No")</f>
        <v>Yes</v>
      </c>
      <c r="I582" s="6"/>
    </row>
    <row r="583" customFormat="false" ht="15" hidden="false" customHeight="false" outlineLevel="0" collapsed="false">
      <c r="A583" s="6" t="s">
        <v>1766</v>
      </c>
      <c r="B583" s="6" t="s">
        <v>1853</v>
      </c>
      <c r="C583" s="6" t="n">
        <v>140</v>
      </c>
      <c r="D583" s="6" t="n">
        <v>15</v>
      </c>
      <c r="E583" s="6" t="s">
        <v>796</v>
      </c>
      <c r="F583" s="6" t="s">
        <v>1920</v>
      </c>
      <c r="G583" s="6" t="s">
        <v>648</v>
      </c>
      <c r="H583" s="6" t="str">
        <f aca="false">IF(D583&lt;=35,"Yes","No")</f>
        <v>Yes</v>
      </c>
      <c r="I583" s="6"/>
    </row>
    <row r="584" customFormat="false" ht="15" hidden="false" customHeight="false" outlineLevel="0" collapsed="false">
      <c r="A584" s="6" t="s">
        <v>1710</v>
      </c>
      <c r="B584" s="6" t="s">
        <v>1853</v>
      </c>
      <c r="C584" s="6" t="n">
        <v>140</v>
      </c>
      <c r="D584" s="6" t="n">
        <v>10</v>
      </c>
      <c r="E584" s="6" t="s">
        <v>796</v>
      </c>
      <c r="F584" s="6" t="s">
        <v>2035</v>
      </c>
      <c r="G584" s="6" t="s">
        <v>648</v>
      </c>
      <c r="H584" s="6" t="str">
        <f aca="false">IF(D584&lt;=35,"Yes","No")</f>
        <v>Yes</v>
      </c>
      <c r="I584" s="6"/>
    </row>
    <row r="585" customFormat="false" ht="15" hidden="false" customHeight="false" outlineLevel="0" collapsed="false">
      <c r="A585" s="6" t="s">
        <v>1645</v>
      </c>
      <c r="B585" s="6" t="s">
        <v>1853</v>
      </c>
      <c r="C585" s="6" t="n">
        <v>140</v>
      </c>
      <c r="D585" s="6" t="n">
        <v>7</v>
      </c>
      <c r="E585" s="6" t="s">
        <v>796</v>
      </c>
      <c r="F585" s="6" t="s">
        <v>2073</v>
      </c>
      <c r="G585" s="6" t="s">
        <v>648</v>
      </c>
      <c r="H585" s="6" t="str">
        <f aca="false">IF(D585&lt;=35,"Yes","No")</f>
        <v>Yes</v>
      </c>
      <c r="I585" s="6"/>
    </row>
    <row r="586" customFormat="false" ht="15" hidden="false" customHeight="false" outlineLevel="0" collapsed="false">
      <c r="A586" s="6" t="s">
        <v>1652</v>
      </c>
      <c r="B586" s="6" t="s">
        <v>1853</v>
      </c>
      <c r="C586" s="6" t="n">
        <v>140</v>
      </c>
      <c r="D586" s="6" t="n">
        <v>13</v>
      </c>
      <c r="E586" s="6" t="s">
        <v>796</v>
      </c>
      <c r="F586" s="6" t="s">
        <v>2141</v>
      </c>
      <c r="G586" s="6" t="s">
        <v>648</v>
      </c>
      <c r="H586" s="6" t="str">
        <f aca="false">IF(D586&lt;=35,"Yes","No")</f>
        <v>Yes</v>
      </c>
      <c r="I586" s="6"/>
    </row>
    <row r="587" customFormat="false" ht="15" hidden="false" customHeight="false" outlineLevel="0" collapsed="false">
      <c r="A587" s="6" t="s">
        <v>995</v>
      </c>
      <c r="B587" s="6" t="s">
        <v>1853</v>
      </c>
      <c r="C587" s="6" t="n">
        <v>140</v>
      </c>
      <c r="D587" s="6" t="n">
        <v>14</v>
      </c>
      <c r="E587" s="6" t="s">
        <v>642</v>
      </c>
      <c r="F587" s="6" t="s">
        <v>1965</v>
      </c>
      <c r="G587" s="6" t="s">
        <v>627</v>
      </c>
      <c r="H587" s="6" t="str">
        <f aca="false">IF(D587&lt;=35,"Yes","No")</f>
        <v>Yes</v>
      </c>
      <c r="I587" s="6"/>
    </row>
    <row r="588" customFormat="false" ht="15" hidden="false" customHeight="false" outlineLevel="0" collapsed="false">
      <c r="A588" s="6" t="s">
        <v>1578</v>
      </c>
      <c r="B588" s="6" t="s">
        <v>1853</v>
      </c>
      <c r="C588" s="6" t="n">
        <v>140</v>
      </c>
      <c r="D588" s="6" t="n">
        <v>5</v>
      </c>
      <c r="E588" s="6" t="s">
        <v>642</v>
      </c>
      <c r="F588" s="6" t="s">
        <v>2142</v>
      </c>
      <c r="G588" s="6" t="s">
        <v>627</v>
      </c>
      <c r="H588" s="6" t="str">
        <f aca="false">IF(D588&lt;=35,"Yes","No")</f>
        <v>Yes</v>
      </c>
      <c r="I588" s="6"/>
    </row>
    <row r="589" customFormat="false" ht="15" hidden="false" customHeight="false" outlineLevel="0" collapsed="false">
      <c r="A589" s="6" t="s">
        <v>1416</v>
      </c>
      <c r="B589" s="6" t="s">
        <v>1853</v>
      </c>
      <c r="C589" s="6" t="n">
        <v>140</v>
      </c>
      <c r="D589" s="6" t="n">
        <v>10</v>
      </c>
      <c r="E589" s="6" t="s">
        <v>642</v>
      </c>
      <c r="F589" s="6" t="s">
        <v>2143</v>
      </c>
      <c r="G589" s="6" t="s">
        <v>627</v>
      </c>
      <c r="H589" s="6" t="str">
        <f aca="false">IF(D589&lt;=35,"Yes","No")</f>
        <v>Yes</v>
      </c>
      <c r="I589" s="6"/>
    </row>
    <row r="590" customFormat="false" ht="15" hidden="false" customHeight="false" outlineLevel="0" collapsed="false">
      <c r="A590" s="6" t="s">
        <v>1678</v>
      </c>
      <c r="B590" s="6" t="s">
        <v>1853</v>
      </c>
      <c r="C590" s="6" t="n">
        <v>140</v>
      </c>
      <c r="D590" s="6" t="n">
        <v>8</v>
      </c>
      <c r="E590" s="6" t="s">
        <v>1199</v>
      </c>
      <c r="F590" s="6" t="s">
        <v>2141</v>
      </c>
      <c r="G590" s="6" t="s">
        <v>627</v>
      </c>
      <c r="H590" s="6" t="str">
        <f aca="false">IF(D590&lt;=35,"Yes","No")</f>
        <v>Yes</v>
      </c>
      <c r="I590" s="6"/>
    </row>
    <row r="591" customFormat="false" ht="15" hidden="false" customHeight="false" outlineLevel="0" collapsed="false">
      <c r="A591" s="6" t="s">
        <v>1720</v>
      </c>
      <c r="B591" s="6" t="s">
        <v>1853</v>
      </c>
      <c r="C591" s="6" t="n">
        <v>140</v>
      </c>
      <c r="D591" s="6" t="n">
        <v>11</v>
      </c>
      <c r="E591" s="6" t="s">
        <v>859</v>
      </c>
      <c r="F591" s="6" t="s">
        <v>2144</v>
      </c>
      <c r="G591" s="6" t="s">
        <v>627</v>
      </c>
      <c r="H591" s="6" t="str">
        <f aca="false">IF(D591&lt;=35,"Yes","No")</f>
        <v>Yes</v>
      </c>
      <c r="I591" s="6"/>
    </row>
    <row r="592" customFormat="false" ht="15" hidden="false" customHeight="false" outlineLevel="0" collapsed="false">
      <c r="A592" s="6" t="s">
        <v>1095</v>
      </c>
      <c r="B592" s="6" t="s">
        <v>198</v>
      </c>
      <c r="C592" s="6" t="n">
        <v>140</v>
      </c>
      <c r="D592" s="6" t="n">
        <v>6</v>
      </c>
      <c r="E592" s="6" t="s">
        <v>642</v>
      </c>
      <c r="F592" s="6" t="s">
        <v>2083</v>
      </c>
      <c r="G592" s="6" t="s">
        <v>627</v>
      </c>
      <c r="H592" s="6" t="str">
        <f aca="false">IF(D592&lt;=35,"Yes","No")</f>
        <v>Yes</v>
      </c>
      <c r="I592" s="6"/>
    </row>
    <row r="593" customFormat="false" ht="15" hidden="false" customHeight="false" outlineLevel="0" collapsed="false">
      <c r="A593" s="6" t="s">
        <v>1156</v>
      </c>
      <c r="B593" s="6" t="s">
        <v>198</v>
      </c>
      <c r="C593" s="6" t="n">
        <v>140</v>
      </c>
      <c r="D593" s="6" t="n">
        <v>5</v>
      </c>
      <c r="E593" s="6" t="s">
        <v>642</v>
      </c>
      <c r="F593" s="6" t="s">
        <v>2104</v>
      </c>
      <c r="G593" s="6" t="s">
        <v>627</v>
      </c>
      <c r="H593" s="6" t="str">
        <f aca="false">IF(D593&lt;=35,"Yes","No")</f>
        <v>Yes</v>
      </c>
      <c r="I593" s="6"/>
    </row>
    <row r="594" customFormat="false" ht="15" hidden="false" customHeight="false" outlineLevel="0" collapsed="false">
      <c r="A594" s="6" t="s">
        <v>1847</v>
      </c>
      <c r="B594" s="6" t="s">
        <v>198</v>
      </c>
      <c r="C594" s="6" t="n">
        <v>140</v>
      </c>
      <c r="D594" s="6" t="n">
        <v>23</v>
      </c>
      <c r="E594" s="6" t="s">
        <v>1216</v>
      </c>
      <c r="F594" s="6" t="s">
        <v>1978</v>
      </c>
      <c r="G594" s="6" t="s">
        <v>627</v>
      </c>
      <c r="H594" s="6" t="str">
        <f aca="false">IF(D594&lt;=35,"Yes","No")</f>
        <v>Yes</v>
      </c>
      <c r="I594" s="6"/>
    </row>
    <row r="595" customFormat="false" ht="15" hidden="false" customHeight="false" outlineLevel="0" collapsed="false">
      <c r="A595" s="6" t="s">
        <v>2145</v>
      </c>
      <c r="B595" s="6" t="s">
        <v>1853</v>
      </c>
      <c r="C595" s="6" t="n">
        <v>120</v>
      </c>
      <c r="D595" s="6" t="n">
        <v>11</v>
      </c>
      <c r="E595" s="6" t="s">
        <v>649</v>
      </c>
      <c r="F595" s="6" t="s">
        <v>1860</v>
      </c>
      <c r="G595" s="6" t="s">
        <v>648</v>
      </c>
      <c r="H595" s="6" t="str">
        <f aca="false">IF(D595&lt;=35,"Yes","No")</f>
        <v>Yes</v>
      </c>
      <c r="I595" s="6"/>
    </row>
    <row r="596" customFormat="false" ht="15" hidden="false" customHeight="false" outlineLevel="0" collapsed="false">
      <c r="A596" s="6" t="s">
        <v>1434</v>
      </c>
      <c r="B596" s="6" t="s">
        <v>1853</v>
      </c>
      <c r="C596" s="6" t="n">
        <v>120</v>
      </c>
      <c r="D596" s="6" t="n">
        <v>12</v>
      </c>
      <c r="E596" s="6" t="s">
        <v>649</v>
      </c>
      <c r="F596" s="6" t="s">
        <v>1869</v>
      </c>
      <c r="G596" s="6" t="s">
        <v>648</v>
      </c>
      <c r="H596" s="6" t="str">
        <f aca="false">IF(D596&lt;=35,"Yes","No")</f>
        <v>Yes</v>
      </c>
      <c r="I596" s="6"/>
    </row>
    <row r="597" customFormat="false" ht="15" hidden="false" customHeight="false" outlineLevel="0" collapsed="false">
      <c r="A597" s="6" t="s">
        <v>1822</v>
      </c>
      <c r="B597" s="6" t="s">
        <v>1853</v>
      </c>
      <c r="C597" s="6" t="n">
        <v>120</v>
      </c>
      <c r="D597" s="6" t="n">
        <v>19</v>
      </c>
      <c r="E597" s="6" t="s">
        <v>642</v>
      </c>
      <c r="F597" s="6" t="s">
        <v>1866</v>
      </c>
      <c r="G597" s="6" t="s">
        <v>627</v>
      </c>
      <c r="H597" s="6" t="str">
        <f aca="false">IF(D597&lt;=35,"Yes","No")</f>
        <v>Yes</v>
      </c>
      <c r="I597" s="6"/>
    </row>
    <row r="598" customFormat="false" ht="15" hidden="false" customHeight="false" outlineLevel="0" collapsed="false">
      <c r="A598" s="6" t="s">
        <v>1663</v>
      </c>
      <c r="B598" s="6" t="s">
        <v>198</v>
      </c>
      <c r="C598" s="6" t="n">
        <v>120</v>
      </c>
      <c r="D598" s="6" t="n">
        <v>5</v>
      </c>
      <c r="E598" s="6" t="s">
        <v>738</v>
      </c>
      <c r="F598" s="6" t="s">
        <v>2116</v>
      </c>
      <c r="G598" s="6" t="s">
        <v>627</v>
      </c>
      <c r="H598" s="6" t="str">
        <f aca="false">IF(D598&lt;=35,"Yes","No")</f>
        <v>Yes</v>
      </c>
      <c r="I598" s="6"/>
    </row>
    <row r="599" customFormat="false" ht="15" hidden="false" customHeight="false" outlineLevel="0" collapsed="false">
      <c r="A599" s="6" t="s">
        <v>1683</v>
      </c>
      <c r="B599" s="6" t="s">
        <v>1853</v>
      </c>
      <c r="C599" s="6" t="n">
        <v>120</v>
      </c>
      <c r="D599" s="6" t="n">
        <v>6</v>
      </c>
      <c r="E599" s="6" t="s">
        <v>649</v>
      </c>
      <c r="F599" s="6" t="s">
        <v>2146</v>
      </c>
      <c r="G599" s="6" t="s">
        <v>648</v>
      </c>
      <c r="H599" s="6" t="str">
        <f aca="false">IF(D599&lt;=35,"Yes","No")</f>
        <v>Yes</v>
      </c>
      <c r="I599" s="6"/>
    </row>
    <row r="600" customFormat="false" ht="15" hidden="false" customHeight="false" outlineLevel="0" collapsed="false">
      <c r="A600" s="6" t="s">
        <v>1656</v>
      </c>
      <c r="B600" s="6" t="s">
        <v>1853</v>
      </c>
      <c r="C600" s="6" t="n">
        <v>110</v>
      </c>
      <c r="D600" s="6" t="n">
        <v>10</v>
      </c>
      <c r="E600" s="6" t="s">
        <v>1308</v>
      </c>
      <c r="F600" s="6" t="s">
        <v>1876</v>
      </c>
      <c r="G600" s="6" t="s">
        <v>648</v>
      </c>
      <c r="H600" s="6" t="str">
        <f aca="false">IF(D600&lt;=35,"Yes","No")</f>
        <v>Yes</v>
      </c>
      <c r="I600" s="6"/>
    </row>
    <row r="601" customFormat="false" ht="15" hidden="false" customHeight="false" outlineLevel="0" collapsed="false">
      <c r="A601" s="6" t="s">
        <v>1513</v>
      </c>
      <c r="B601" s="6" t="s">
        <v>1853</v>
      </c>
      <c r="C601" s="6" t="n">
        <v>110</v>
      </c>
      <c r="D601" s="6" t="n">
        <v>0</v>
      </c>
      <c r="E601" s="6" t="s">
        <v>1308</v>
      </c>
      <c r="F601" s="6" t="s">
        <v>1891</v>
      </c>
      <c r="G601" s="6" t="s">
        <v>648</v>
      </c>
      <c r="H601" s="6" t="str">
        <f aca="false">IF(D601&lt;=35,"Yes","No")</f>
        <v>Yes</v>
      </c>
      <c r="I601" s="6"/>
    </row>
    <row r="602" customFormat="false" ht="15" hidden="false" customHeight="false" outlineLevel="0" collapsed="false">
      <c r="A602" s="6" t="s">
        <v>1307</v>
      </c>
      <c r="B602" s="6" t="s">
        <v>1853</v>
      </c>
      <c r="C602" s="6" t="n">
        <v>110</v>
      </c>
      <c r="D602" s="6" t="n">
        <v>5</v>
      </c>
      <c r="E602" s="6" t="s">
        <v>1308</v>
      </c>
      <c r="F602" s="6" t="s">
        <v>2028</v>
      </c>
      <c r="G602" s="6" t="s">
        <v>648</v>
      </c>
      <c r="H602" s="6" t="str">
        <f aca="false">IF(D602&lt;=35,"Yes","No")</f>
        <v>Yes</v>
      </c>
      <c r="I602" s="6"/>
    </row>
    <row r="603" customFormat="false" ht="15" hidden="false" customHeight="false" outlineLevel="0" collapsed="false">
      <c r="A603" s="6" t="s">
        <v>1362</v>
      </c>
      <c r="B603" s="6" t="s">
        <v>1853</v>
      </c>
      <c r="C603" s="6" t="n">
        <v>110</v>
      </c>
      <c r="D603" s="6" t="n">
        <v>10</v>
      </c>
      <c r="E603" s="6" t="s">
        <v>649</v>
      </c>
      <c r="F603" s="6" t="s">
        <v>1948</v>
      </c>
      <c r="G603" s="6" t="s">
        <v>648</v>
      </c>
      <c r="H603" s="6" t="str">
        <f aca="false">IF(D603&lt;=35,"Yes","No")</f>
        <v>Yes</v>
      </c>
      <c r="I603" s="6"/>
    </row>
    <row r="604" customFormat="false" ht="15" hidden="false" customHeight="false" outlineLevel="0" collapsed="false">
      <c r="A604" s="6" t="s">
        <v>1361</v>
      </c>
      <c r="B604" s="6" t="s">
        <v>1853</v>
      </c>
      <c r="C604" s="6" t="n">
        <v>110</v>
      </c>
      <c r="D604" s="6" t="n">
        <v>6</v>
      </c>
      <c r="E604" s="6" t="s">
        <v>649</v>
      </c>
      <c r="F604" s="6" t="s">
        <v>1948</v>
      </c>
      <c r="G604" s="6" t="s">
        <v>648</v>
      </c>
      <c r="H604" s="6" t="str">
        <f aca="false">IF(D604&lt;=35,"Yes","No")</f>
        <v>Yes</v>
      </c>
      <c r="I604" s="6"/>
    </row>
    <row r="605" customFormat="false" ht="15" hidden="false" customHeight="false" outlineLevel="0" collapsed="false">
      <c r="A605" s="6" t="s">
        <v>734</v>
      </c>
      <c r="B605" s="6" t="s">
        <v>1853</v>
      </c>
      <c r="C605" s="6" t="n">
        <v>110</v>
      </c>
      <c r="D605" s="6" t="n">
        <v>8</v>
      </c>
      <c r="E605" s="6" t="s">
        <v>700</v>
      </c>
      <c r="F605" s="6" t="s">
        <v>1920</v>
      </c>
      <c r="G605" s="6" t="s">
        <v>648</v>
      </c>
      <c r="H605" s="6" t="str">
        <f aca="false">IF(D605&lt;=35,"Yes","No")</f>
        <v>Yes</v>
      </c>
      <c r="I605" s="6"/>
    </row>
    <row r="606" customFormat="false" ht="15" hidden="false" customHeight="false" outlineLevel="0" collapsed="false">
      <c r="A606" s="6" t="s">
        <v>1690</v>
      </c>
      <c r="B606" s="6" t="s">
        <v>1853</v>
      </c>
      <c r="C606" s="6" t="n">
        <v>110</v>
      </c>
      <c r="D606" s="6" t="n">
        <v>5</v>
      </c>
      <c r="E606" s="6" t="s">
        <v>692</v>
      </c>
      <c r="F606" s="6" t="s">
        <v>1909</v>
      </c>
      <c r="G606" s="6" t="s">
        <v>648</v>
      </c>
      <c r="H606" s="6" t="str">
        <f aca="false">IF(D606&lt;=35,"Yes","No")</f>
        <v>Yes</v>
      </c>
      <c r="I606" s="6"/>
    </row>
    <row r="607" customFormat="false" ht="15" hidden="false" customHeight="false" outlineLevel="0" collapsed="false">
      <c r="A607" s="6" t="s">
        <v>1731</v>
      </c>
      <c r="B607" s="6" t="s">
        <v>1853</v>
      </c>
      <c r="C607" s="6" t="n">
        <v>110</v>
      </c>
      <c r="D607" s="6" t="n">
        <v>7</v>
      </c>
      <c r="E607" s="6" t="s">
        <v>692</v>
      </c>
      <c r="F607" s="6" t="s">
        <v>1895</v>
      </c>
      <c r="G607" s="6" t="s">
        <v>648</v>
      </c>
      <c r="H607" s="6" t="str">
        <f aca="false">IF(D607&lt;=35,"Yes","No")</f>
        <v>Yes</v>
      </c>
      <c r="I607" s="6"/>
    </row>
    <row r="608" customFormat="false" ht="15" hidden="false" customHeight="false" outlineLevel="0" collapsed="false">
      <c r="A608" s="6" t="s">
        <v>1670</v>
      </c>
      <c r="B608" s="6" t="s">
        <v>1853</v>
      </c>
      <c r="C608" s="6" t="n">
        <v>110</v>
      </c>
      <c r="D608" s="6" t="n">
        <v>4</v>
      </c>
      <c r="E608" s="6" t="s">
        <v>692</v>
      </c>
      <c r="F608" s="6" t="s">
        <v>1931</v>
      </c>
      <c r="G608" s="6" t="s">
        <v>648</v>
      </c>
      <c r="H608" s="6" t="str">
        <f aca="false">IF(D608&lt;=35,"Yes","No")</f>
        <v>Yes</v>
      </c>
      <c r="I608" s="6"/>
    </row>
    <row r="609" customFormat="false" ht="15" hidden="false" customHeight="false" outlineLevel="0" collapsed="false">
      <c r="A609" s="6" t="s">
        <v>1658</v>
      </c>
      <c r="B609" s="6" t="s">
        <v>1853</v>
      </c>
      <c r="C609" s="6" t="n">
        <v>110</v>
      </c>
      <c r="D609" s="6" t="n">
        <v>11</v>
      </c>
      <c r="E609" s="6" t="s">
        <v>692</v>
      </c>
      <c r="F609" s="6" t="s">
        <v>1994</v>
      </c>
      <c r="G609" s="6" t="s">
        <v>648</v>
      </c>
      <c r="H609" s="6" t="str">
        <f aca="false">IF(D609&lt;=35,"Yes","No")</f>
        <v>Yes</v>
      </c>
      <c r="I609" s="6"/>
    </row>
    <row r="610" customFormat="false" ht="15" hidden="false" customHeight="false" outlineLevel="0" collapsed="false">
      <c r="A610" s="6" t="s">
        <v>1452</v>
      </c>
      <c r="B610" s="6" t="s">
        <v>1853</v>
      </c>
      <c r="C610" s="6" t="n">
        <v>110</v>
      </c>
      <c r="D610" s="6" t="n">
        <v>6</v>
      </c>
      <c r="E610" s="6" t="s">
        <v>850</v>
      </c>
      <c r="F610" s="6" t="s">
        <v>1895</v>
      </c>
      <c r="G610" s="6" t="s">
        <v>648</v>
      </c>
      <c r="H610" s="6" t="str">
        <f aca="false">IF(D610&lt;=35,"Yes","No")</f>
        <v>Yes</v>
      </c>
      <c r="I610" s="6"/>
    </row>
    <row r="611" customFormat="false" ht="15" hidden="false" customHeight="false" outlineLevel="0" collapsed="false">
      <c r="A611" s="6" t="s">
        <v>1311</v>
      </c>
      <c r="B611" s="6" t="s">
        <v>1853</v>
      </c>
      <c r="C611" s="6" t="n">
        <v>110</v>
      </c>
      <c r="D611" s="6" t="n">
        <v>5</v>
      </c>
      <c r="E611" s="6" t="s">
        <v>700</v>
      </c>
      <c r="F611" s="6" t="s">
        <v>1938</v>
      </c>
      <c r="G611" s="6" t="s">
        <v>648</v>
      </c>
      <c r="H611" s="6" t="str">
        <f aca="false">IF(D611&lt;=35,"Yes","No")</f>
        <v>Yes</v>
      </c>
      <c r="I611" s="6"/>
    </row>
    <row r="612" customFormat="false" ht="15" hidden="false" customHeight="false" outlineLevel="0" collapsed="false">
      <c r="A612" s="6" t="s">
        <v>1594</v>
      </c>
      <c r="B612" s="6" t="s">
        <v>1853</v>
      </c>
      <c r="C612" s="6" t="n">
        <v>110</v>
      </c>
      <c r="D612" s="6" t="n">
        <v>13</v>
      </c>
      <c r="E612" s="6" t="s">
        <v>700</v>
      </c>
      <c r="F612" s="6" t="s">
        <v>2066</v>
      </c>
      <c r="G612" s="6" t="s">
        <v>648</v>
      </c>
      <c r="H612" s="6" t="str">
        <f aca="false">IF(D612&lt;=35,"Yes","No")</f>
        <v>Yes</v>
      </c>
      <c r="I612" s="6"/>
    </row>
    <row r="613" customFormat="false" ht="15" hidden="false" customHeight="false" outlineLevel="0" collapsed="false">
      <c r="A613" s="6" t="s">
        <v>1641</v>
      </c>
      <c r="B613" s="6" t="s">
        <v>1853</v>
      </c>
      <c r="C613" s="6" t="n">
        <v>110</v>
      </c>
      <c r="D613" s="6" t="n">
        <v>6</v>
      </c>
      <c r="E613" s="6" t="s">
        <v>700</v>
      </c>
      <c r="F613" s="6" t="s">
        <v>1878</v>
      </c>
      <c r="G613" s="6" t="s">
        <v>648</v>
      </c>
      <c r="H613" s="6" t="str">
        <f aca="false">IF(D613&lt;=35,"Yes","No")</f>
        <v>Yes</v>
      </c>
      <c r="I613" s="6"/>
    </row>
    <row r="614" customFormat="false" ht="15" hidden="false" customHeight="false" outlineLevel="0" collapsed="false">
      <c r="A614" s="6" t="s">
        <v>1802</v>
      </c>
      <c r="B614" s="6" t="s">
        <v>198</v>
      </c>
      <c r="C614" s="6" t="n">
        <v>110</v>
      </c>
      <c r="D614" s="6" t="n">
        <v>13</v>
      </c>
      <c r="E614" s="6" t="s">
        <v>1308</v>
      </c>
      <c r="F614" s="6" t="s">
        <v>1918</v>
      </c>
      <c r="G614" s="6" t="s">
        <v>648</v>
      </c>
      <c r="H614" s="6" t="str">
        <f aca="false">IF(D614&lt;=35,"Yes","No")</f>
        <v>Yes</v>
      </c>
      <c r="I614" s="6"/>
    </row>
    <row r="615" customFormat="false" ht="15" hidden="false" customHeight="false" outlineLevel="0" collapsed="false">
      <c r="A615" s="6" t="s">
        <v>1993</v>
      </c>
      <c r="B615" s="6" t="s">
        <v>198</v>
      </c>
      <c r="C615" s="6" t="n">
        <v>110</v>
      </c>
      <c r="D615" s="6" t="n">
        <v>20</v>
      </c>
      <c r="E615" s="6" t="s">
        <v>649</v>
      </c>
      <c r="F615" s="6" t="s">
        <v>1905</v>
      </c>
      <c r="G615" s="6" t="s">
        <v>648</v>
      </c>
      <c r="H615" s="6" t="str">
        <f aca="false">IF(D615&lt;=35,"Yes","No")</f>
        <v>Yes</v>
      </c>
      <c r="I615" s="6"/>
    </row>
    <row r="616" customFormat="false" ht="15" hidden="false" customHeight="false" outlineLevel="0" collapsed="false">
      <c r="A616" s="6" t="s">
        <v>2108</v>
      </c>
      <c r="B616" s="6" t="s">
        <v>198</v>
      </c>
      <c r="C616" s="6" t="n">
        <v>110</v>
      </c>
      <c r="D616" s="6" t="n">
        <v>13</v>
      </c>
      <c r="E616" s="6" t="s">
        <v>649</v>
      </c>
      <c r="F616" s="6" t="s">
        <v>1866</v>
      </c>
      <c r="G616" s="6" t="s">
        <v>648</v>
      </c>
      <c r="H616" s="6" t="str">
        <f aca="false">IF(D616&lt;=35,"Yes","No")</f>
        <v>Yes</v>
      </c>
      <c r="I616" s="6"/>
    </row>
    <row r="617" customFormat="false" ht="15" hidden="false" customHeight="false" outlineLevel="0" collapsed="false">
      <c r="A617" s="6" t="s">
        <v>1032</v>
      </c>
      <c r="B617" s="6" t="s">
        <v>198</v>
      </c>
      <c r="C617" s="6" t="n">
        <v>110</v>
      </c>
      <c r="D617" s="6" t="n">
        <v>11</v>
      </c>
      <c r="E617" s="6" t="s">
        <v>700</v>
      </c>
      <c r="F617" s="6" t="s">
        <v>1901</v>
      </c>
      <c r="G617" s="6" t="s">
        <v>648</v>
      </c>
      <c r="H617" s="6" t="str">
        <f aca="false">IF(D617&lt;=35,"Yes","No")</f>
        <v>Yes</v>
      </c>
      <c r="I617" s="6"/>
    </row>
    <row r="618" customFormat="false" ht="15" hidden="false" customHeight="false" outlineLevel="0" collapsed="false">
      <c r="A618" s="6" t="s">
        <v>1359</v>
      </c>
      <c r="B618" s="6" t="s">
        <v>198</v>
      </c>
      <c r="C618" s="6" t="n">
        <v>110</v>
      </c>
      <c r="D618" s="6" t="n">
        <v>5</v>
      </c>
      <c r="E618" s="6" t="s">
        <v>692</v>
      </c>
      <c r="F618" s="6" t="s">
        <v>1963</v>
      </c>
      <c r="G618" s="6" t="s">
        <v>648</v>
      </c>
      <c r="H618" s="6" t="str">
        <f aca="false">IF(D618&lt;=35,"Yes","No")</f>
        <v>Yes</v>
      </c>
      <c r="I618" s="6"/>
    </row>
    <row r="619" customFormat="false" ht="15" hidden="false" customHeight="false" outlineLevel="0" collapsed="false">
      <c r="A619" s="6" t="s">
        <v>1680</v>
      </c>
      <c r="B619" s="6" t="s">
        <v>198</v>
      </c>
      <c r="C619" s="6" t="n">
        <v>110</v>
      </c>
      <c r="D619" s="6" t="n">
        <v>17</v>
      </c>
      <c r="E619" s="6" t="s">
        <v>700</v>
      </c>
      <c r="F619" s="6" t="s">
        <v>1860</v>
      </c>
      <c r="G619" s="6" t="s">
        <v>648</v>
      </c>
      <c r="H619" s="6" t="str">
        <f aca="false">IF(D619&lt;=35,"Yes","No")</f>
        <v>Yes</v>
      </c>
      <c r="I619" s="6"/>
    </row>
    <row r="620" customFormat="false" ht="15" hidden="false" customHeight="false" outlineLevel="0" collapsed="false">
      <c r="A620" s="6" t="s">
        <v>1550</v>
      </c>
      <c r="B620" s="6" t="s">
        <v>198</v>
      </c>
      <c r="C620" s="6" t="n">
        <v>110</v>
      </c>
      <c r="D620" s="6" t="n">
        <v>21</v>
      </c>
      <c r="E620" s="6" t="s">
        <v>700</v>
      </c>
      <c r="F620" s="6" t="s">
        <v>1865</v>
      </c>
      <c r="G620" s="6" t="s">
        <v>648</v>
      </c>
      <c r="H620" s="6" t="str">
        <f aca="false">IF(D620&lt;=35,"Yes","No")</f>
        <v>Yes</v>
      </c>
      <c r="I620" s="6"/>
    </row>
    <row r="621" customFormat="false" ht="15" hidden="false" customHeight="false" outlineLevel="0" collapsed="false">
      <c r="A621" s="6" t="s">
        <v>1587</v>
      </c>
      <c r="B621" s="6" t="s">
        <v>1853</v>
      </c>
      <c r="C621" s="6" t="n">
        <v>110</v>
      </c>
      <c r="D621" s="6" t="n">
        <v>15</v>
      </c>
      <c r="E621" s="6" t="s">
        <v>881</v>
      </c>
      <c r="F621" s="6" t="s">
        <v>2141</v>
      </c>
      <c r="G621" s="6" t="s">
        <v>627</v>
      </c>
      <c r="H621" s="6" t="str">
        <f aca="false">IF(D621&lt;=35,"Yes","No")</f>
        <v>Yes</v>
      </c>
      <c r="I621" s="6"/>
    </row>
    <row r="622" customFormat="false" ht="15" hidden="false" customHeight="false" outlineLevel="0" collapsed="false">
      <c r="A622" s="6" t="s">
        <v>1804</v>
      </c>
      <c r="B622" s="6" t="s">
        <v>1853</v>
      </c>
      <c r="C622" s="6" t="n">
        <v>110</v>
      </c>
      <c r="D622" s="6" t="n">
        <v>13</v>
      </c>
      <c r="E622" s="6" t="s">
        <v>738</v>
      </c>
      <c r="F622" s="6" t="s">
        <v>2144</v>
      </c>
      <c r="G622" s="6" t="s">
        <v>627</v>
      </c>
      <c r="H622" s="6" t="str">
        <f aca="false">IF(D622&lt;=35,"Yes","No")</f>
        <v>Yes</v>
      </c>
      <c r="I622" s="6"/>
    </row>
    <row r="623" customFormat="false" ht="15" hidden="false" customHeight="false" outlineLevel="0" collapsed="false">
      <c r="A623" s="6" t="s">
        <v>1638</v>
      </c>
      <c r="B623" s="6" t="s">
        <v>1853</v>
      </c>
      <c r="C623" s="6" t="n">
        <v>110</v>
      </c>
      <c r="D623" s="6" t="n">
        <v>7</v>
      </c>
      <c r="E623" s="6" t="s">
        <v>738</v>
      </c>
      <c r="F623" s="6" t="s">
        <v>2147</v>
      </c>
      <c r="G623" s="6" t="s">
        <v>627</v>
      </c>
      <c r="H623" s="6" t="str">
        <f aca="false">IF(D623&lt;=35,"Yes","No")</f>
        <v>Yes</v>
      </c>
      <c r="I623" s="6"/>
    </row>
    <row r="624" customFormat="false" ht="15" hidden="false" customHeight="false" outlineLevel="0" collapsed="false">
      <c r="A624" s="6" t="s">
        <v>1807</v>
      </c>
      <c r="B624" s="6" t="s">
        <v>1853</v>
      </c>
      <c r="C624" s="6" t="n">
        <v>110</v>
      </c>
      <c r="D624" s="6" t="n">
        <v>13</v>
      </c>
      <c r="E624" s="6" t="s">
        <v>738</v>
      </c>
      <c r="F624" s="6" t="s">
        <v>2148</v>
      </c>
      <c r="G624" s="6" t="s">
        <v>627</v>
      </c>
      <c r="H624" s="6" t="str">
        <f aca="false">IF(D624&lt;=35,"Yes","No")</f>
        <v>Yes</v>
      </c>
      <c r="I624" s="6"/>
    </row>
    <row r="625" customFormat="false" ht="15" hidden="false" customHeight="false" outlineLevel="0" collapsed="false">
      <c r="A625" s="6" t="s">
        <v>1734</v>
      </c>
      <c r="B625" s="6" t="s">
        <v>1853</v>
      </c>
      <c r="C625" s="6" t="n">
        <v>110</v>
      </c>
      <c r="D625" s="6" t="n">
        <v>7</v>
      </c>
      <c r="E625" s="6" t="s">
        <v>1042</v>
      </c>
      <c r="F625" s="6" t="s">
        <v>1884</v>
      </c>
      <c r="G625" s="6" t="s">
        <v>648</v>
      </c>
      <c r="H625" s="6" t="str">
        <f aca="false">IF(D625&lt;=35,"Yes","No")</f>
        <v>Yes</v>
      </c>
      <c r="I625" s="6"/>
    </row>
    <row r="626" customFormat="false" ht="15" hidden="false" customHeight="false" outlineLevel="0" collapsed="false">
      <c r="A626" s="6" t="s">
        <v>1693</v>
      </c>
      <c r="B626" s="6" t="s">
        <v>1853</v>
      </c>
      <c r="C626" s="6" t="n">
        <v>110</v>
      </c>
      <c r="D626" s="6" t="n">
        <v>5</v>
      </c>
      <c r="E626" s="6" t="s">
        <v>2082</v>
      </c>
      <c r="F626" s="6" t="s">
        <v>2036</v>
      </c>
      <c r="G626" s="6" t="s">
        <v>648</v>
      </c>
      <c r="H626" s="6" t="str">
        <f aca="false">IF(D626&lt;=35,"Yes","No")</f>
        <v>Yes</v>
      </c>
      <c r="I626" s="6"/>
    </row>
    <row r="627" customFormat="false" ht="15" hidden="false" customHeight="false" outlineLevel="0" collapsed="false">
      <c r="A627" s="6" t="s">
        <v>1695</v>
      </c>
      <c r="B627" s="6" t="s">
        <v>1853</v>
      </c>
      <c r="C627" s="6" t="n">
        <v>110</v>
      </c>
      <c r="D627" s="6" t="n">
        <v>5</v>
      </c>
      <c r="E627" s="6" t="s">
        <v>2149</v>
      </c>
      <c r="F627" s="6" t="s">
        <v>1982</v>
      </c>
      <c r="G627" s="6" t="s">
        <v>648</v>
      </c>
      <c r="H627" s="6" t="str">
        <f aca="false">IF(D627&lt;=35,"Yes","No")</f>
        <v>Yes</v>
      </c>
      <c r="I627" s="6"/>
    </row>
    <row r="628" customFormat="false" ht="15" hidden="false" customHeight="false" outlineLevel="0" collapsed="false">
      <c r="A628" s="6" t="s">
        <v>756</v>
      </c>
      <c r="B628" s="6" t="s">
        <v>198</v>
      </c>
      <c r="C628" s="6" t="n">
        <v>110</v>
      </c>
      <c r="D628" s="6" t="n">
        <v>0</v>
      </c>
      <c r="E628" s="6" t="s">
        <v>755</v>
      </c>
      <c r="F628" s="6" t="s">
        <v>2061</v>
      </c>
      <c r="G628" s="6" t="s">
        <v>648</v>
      </c>
      <c r="H628" s="6" t="str">
        <f aca="false">IF(D628&lt;=35,"Yes","No")</f>
        <v>Yes</v>
      </c>
      <c r="I628" s="6"/>
    </row>
    <row r="629" customFormat="false" ht="15" hidden="false" customHeight="false" outlineLevel="0" collapsed="false">
      <c r="A629" s="6" t="s">
        <v>1816</v>
      </c>
      <c r="B629" s="6" t="s">
        <v>1853</v>
      </c>
      <c r="C629" s="6" t="n">
        <v>110</v>
      </c>
      <c r="D629" s="6" t="n">
        <v>14</v>
      </c>
      <c r="E629" s="6" t="s">
        <v>796</v>
      </c>
      <c r="F629" s="6" t="s">
        <v>1953</v>
      </c>
      <c r="G629" s="6" t="s">
        <v>648</v>
      </c>
      <c r="H629" s="6" t="str">
        <f aca="false">IF(D629&lt;=35,"Yes","No")</f>
        <v>Yes</v>
      </c>
      <c r="I629" s="6"/>
    </row>
    <row r="630" customFormat="false" ht="15" hidden="false" customHeight="false" outlineLevel="0" collapsed="false">
      <c r="A630" s="6" t="s">
        <v>1654</v>
      </c>
      <c r="B630" s="6" t="s">
        <v>1853</v>
      </c>
      <c r="C630" s="6" t="n">
        <v>110</v>
      </c>
      <c r="D630" s="6" t="n">
        <v>6</v>
      </c>
      <c r="E630" s="6" t="s">
        <v>1199</v>
      </c>
      <c r="F630" s="6" t="s">
        <v>1952</v>
      </c>
      <c r="G630" s="6" t="s">
        <v>627</v>
      </c>
      <c r="H630" s="6" t="str">
        <f aca="false">IF(D630&lt;=35,"Yes","No")</f>
        <v>Yes</v>
      </c>
      <c r="I630" s="6"/>
    </row>
    <row r="631" customFormat="false" ht="15" hidden="false" customHeight="false" outlineLevel="0" collapsed="false">
      <c r="A631" s="6" t="s">
        <v>1279</v>
      </c>
      <c r="B631" s="6" t="s">
        <v>198</v>
      </c>
      <c r="C631" s="6" t="n">
        <v>110</v>
      </c>
      <c r="D631" s="6" t="n">
        <v>5</v>
      </c>
      <c r="E631" s="6" t="s">
        <v>796</v>
      </c>
      <c r="F631" s="6" t="s">
        <v>1893</v>
      </c>
      <c r="G631" s="6" t="s">
        <v>648</v>
      </c>
      <c r="H631" s="6" t="str">
        <f aca="false">IF(D631&lt;=35,"Yes","No")</f>
        <v>Yes</v>
      </c>
      <c r="I631" s="6"/>
    </row>
    <row r="632" customFormat="false" ht="15" hidden="false" customHeight="false" outlineLevel="0" collapsed="false">
      <c r="A632" s="6" t="s">
        <v>1354</v>
      </c>
      <c r="B632" s="6" t="s">
        <v>198</v>
      </c>
      <c r="C632" s="6" t="n">
        <v>110</v>
      </c>
      <c r="D632" s="6" t="n">
        <v>7</v>
      </c>
      <c r="E632" s="6" t="s">
        <v>796</v>
      </c>
      <c r="F632" s="6" t="s">
        <v>1884</v>
      </c>
      <c r="G632" s="6" t="s">
        <v>648</v>
      </c>
      <c r="H632" s="6" t="str">
        <f aca="false">IF(D632&lt;=35,"Yes","No")</f>
        <v>Yes</v>
      </c>
      <c r="I632" s="6"/>
    </row>
    <row r="633" customFormat="false" ht="15" hidden="false" customHeight="false" outlineLevel="0" collapsed="false">
      <c r="A633" s="6" t="s">
        <v>1753</v>
      </c>
      <c r="B633" s="6" t="s">
        <v>198</v>
      </c>
      <c r="C633" s="6" t="n">
        <v>110</v>
      </c>
      <c r="D633" s="6" t="n">
        <v>8</v>
      </c>
      <c r="E633" s="6" t="s">
        <v>642</v>
      </c>
      <c r="F633" s="6" t="s">
        <v>2150</v>
      </c>
      <c r="G633" s="6" t="s">
        <v>627</v>
      </c>
      <c r="H633" s="6" t="str">
        <f aca="false">IF(D633&lt;=35,"Yes","No")</f>
        <v>Yes</v>
      </c>
      <c r="I633" s="6"/>
    </row>
    <row r="634" customFormat="false" ht="15" hidden="false" customHeight="false" outlineLevel="0" collapsed="false">
      <c r="A634" s="6" t="s">
        <v>1416</v>
      </c>
      <c r="B634" s="6" t="s">
        <v>198</v>
      </c>
      <c r="C634" s="6" t="n">
        <v>110</v>
      </c>
      <c r="D634" s="6" t="n">
        <v>4</v>
      </c>
      <c r="E634" s="6" t="s">
        <v>642</v>
      </c>
      <c r="F634" s="6" t="s">
        <v>2143</v>
      </c>
      <c r="G634" s="6" t="s">
        <v>627</v>
      </c>
      <c r="H634" s="6" t="str">
        <f aca="false">IF(D634&lt;=35,"Yes","No")</f>
        <v>Yes</v>
      </c>
      <c r="I634" s="6"/>
    </row>
    <row r="635" customFormat="false" ht="15" hidden="false" customHeight="false" outlineLevel="0" collapsed="false">
      <c r="A635" s="6" t="s">
        <v>1291</v>
      </c>
      <c r="B635" s="6" t="s">
        <v>198</v>
      </c>
      <c r="C635" s="6" t="n">
        <v>110</v>
      </c>
      <c r="D635" s="6" t="n">
        <v>13</v>
      </c>
      <c r="E635" s="6" t="s">
        <v>1199</v>
      </c>
      <c r="F635" s="6" t="s">
        <v>1978</v>
      </c>
      <c r="G635" s="6" t="s">
        <v>627</v>
      </c>
      <c r="H635" s="6" t="str">
        <f aca="false">IF(D635&lt;=35,"Yes","No")</f>
        <v>Yes</v>
      </c>
      <c r="I635" s="6"/>
    </row>
    <row r="636" customFormat="false" ht="15" hidden="false" customHeight="false" outlineLevel="0" collapsed="false">
      <c r="A636" s="6" t="s">
        <v>2151</v>
      </c>
      <c r="B636" s="6" t="s">
        <v>1853</v>
      </c>
      <c r="C636" s="6" t="n">
        <v>100</v>
      </c>
      <c r="D636" s="6" t="n">
        <v>6</v>
      </c>
      <c r="E636" s="6" t="s">
        <v>649</v>
      </c>
      <c r="F636" s="6" t="s">
        <v>1884</v>
      </c>
      <c r="G636" s="6" t="s">
        <v>648</v>
      </c>
      <c r="H636" s="6" t="str">
        <f aca="false">IF(D636&lt;=35,"Yes","No")</f>
        <v>Yes</v>
      </c>
      <c r="I636" s="6"/>
    </row>
    <row r="637" customFormat="false" ht="15" hidden="false" customHeight="false" outlineLevel="0" collapsed="false">
      <c r="A637" s="6" t="s">
        <v>1843</v>
      </c>
      <c r="B637" s="6" t="s">
        <v>1853</v>
      </c>
      <c r="C637" s="6" t="n">
        <v>100</v>
      </c>
      <c r="D637" s="6" t="n">
        <v>7</v>
      </c>
      <c r="E637" s="6" t="s">
        <v>686</v>
      </c>
      <c r="F637" s="6" t="s">
        <v>1891</v>
      </c>
      <c r="G637" s="6" t="s">
        <v>648</v>
      </c>
      <c r="H637" s="6" t="str">
        <f aca="false">IF(D637&lt;=35,"Yes","No")</f>
        <v>Yes</v>
      </c>
      <c r="I637" s="6"/>
    </row>
    <row r="638" customFormat="false" ht="15" hidden="false" customHeight="false" outlineLevel="0" collapsed="false">
      <c r="A638" s="6" t="s">
        <v>2152</v>
      </c>
      <c r="B638" s="6" t="s">
        <v>1853</v>
      </c>
      <c r="C638" s="6" t="n">
        <v>100</v>
      </c>
      <c r="D638" s="6" t="n">
        <v>22</v>
      </c>
      <c r="E638" s="6" t="s">
        <v>649</v>
      </c>
      <c r="F638" s="6" t="s">
        <v>1918</v>
      </c>
      <c r="G638" s="6" t="s">
        <v>648</v>
      </c>
      <c r="H638" s="6" t="str">
        <f aca="false">IF(D638&lt;=35,"Yes","No")</f>
        <v>Yes</v>
      </c>
      <c r="I638" s="6"/>
    </row>
    <row r="639" customFormat="false" ht="15" hidden="false" customHeight="false" outlineLevel="0" collapsed="false">
      <c r="A639" s="6" t="s">
        <v>1810</v>
      </c>
      <c r="B639" s="6" t="s">
        <v>198</v>
      </c>
      <c r="C639" s="6" t="n">
        <v>100</v>
      </c>
      <c r="D639" s="6" t="n">
        <v>11</v>
      </c>
      <c r="E639" s="6" t="s">
        <v>686</v>
      </c>
      <c r="F639" s="6" t="s">
        <v>1946</v>
      </c>
      <c r="G639" s="6" t="s">
        <v>648</v>
      </c>
      <c r="H639" s="6" t="str">
        <f aca="false">IF(D639&lt;=35,"Yes","No")</f>
        <v>Yes</v>
      </c>
      <c r="I639" s="6"/>
    </row>
    <row r="640" customFormat="false" ht="15" hidden="false" customHeight="false" outlineLevel="0" collapsed="false">
      <c r="A640" s="6" t="s">
        <v>1829</v>
      </c>
      <c r="B640" s="6" t="s">
        <v>1853</v>
      </c>
      <c r="C640" s="6" t="n">
        <v>100</v>
      </c>
      <c r="D640" s="6" t="n">
        <v>25</v>
      </c>
      <c r="E640" s="6" t="s">
        <v>2153</v>
      </c>
      <c r="F640" s="6" t="s">
        <v>1869</v>
      </c>
      <c r="G640" s="6" t="s">
        <v>648</v>
      </c>
      <c r="H640" s="6" t="str">
        <f aca="false">IF(D640&lt;=35,"Yes","No")</f>
        <v>Yes</v>
      </c>
      <c r="I640" s="6"/>
    </row>
    <row r="641" customFormat="false" ht="15" hidden="false" customHeight="false" outlineLevel="0" collapsed="false">
      <c r="A641" s="6" t="s">
        <v>1825</v>
      </c>
      <c r="B641" s="6" t="s">
        <v>198</v>
      </c>
      <c r="C641" s="6" t="n">
        <v>100</v>
      </c>
      <c r="D641" s="6" t="n">
        <v>18</v>
      </c>
      <c r="E641" s="6" t="s">
        <v>649</v>
      </c>
      <c r="F641" s="6" t="s">
        <v>2154</v>
      </c>
      <c r="G641" s="6" t="s">
        <v>648</v>
      </c>
      <c r="H641" s="6" t="str">
        <f aca="false">IF(D641&lt;=35,"Yes","No")</f>
        <v>Yes</v>
      </c>
      <c r="I641" s="6"/>
    </row>
    <row r="642" customFormat="false" ht="15" hidden="false" customHeight="false" outlineLevel="0" collapsed="false">
      <c r="A642" s="6" t="s">
        <v>2155</v>
      </c>
      <c r="B642" s="6" t="s">
        <v>1853</v>
      </c>
      <c r="C642" s="6" t="n">
        <v>100</v>
      </c>
      <c r="D642" s="6" t="n">
        <v>5</v>
      </c>
      <c r="E642" s="6" t="s">
        <v>642</v>
      </c>
      <c r="F642" s="6" t="s">
        <v>2156</v>
      </c>
      <c r="G642" s="6" t="s">
        <v>627</v>
      </c>
      <c r="H642" s="6" t="str">
        <f aca="false">IF(D642&lt;=35,"Yes","No")</f>
        <v>Yes</v>
      </c>
      <c r="I642" s="6"/>
    </row>
    <row r="643" customFormat="false" ht="15" hidden="false" customHeight="false" outlineLevel="0" collapsed="false">
      <c r="A643" s="6" t="s">
        <v>2157</v>
      </c>
      <c r="B643" s="6" t="s">
        <v>1853</v>
      </c>
      <c r="C643" s="6" t="n">
        <v>90</v>
      </c>
      <c r="D643" s="6" t="n">
        <v>12</v>
      </c>
      <c r="E643" s="6" t="s">
        <v>1308</v>
      </c>
      <c r="F643" s="6" t="s">
        <v>1866</v>
      </c>
      <c r="G643" s="6" t="s">
        <v>648</v>
      </c>
      <c r="H643" s="6" t="str">
        <f aca="false">IF(D643&lt;=35,"Yes","No")</f>
        <v>Yes</v>
      </c>
      <c r="I643" s="6"/>
    </row>
    <row r="644" customFormat="false" ht="15" hidden="false" customHeight="false" outlineLevel="0" collapsed="false">
      <c r="A644" s="6" t="s">
        <v>2158</v>
      </c>
      <c r="B644" s="6" t="s">
        <v>1853</v>
      </c>
      <c r="C644" s="6" t="n">
        <v>90</v>
      </c>
      <c r="D644" s="6" t="n">
        <v>18</v>
      </c>
      <c r="E644" s="6" t="s">
        <v>649</v>
      </c>
      <c r="F644" s="6" t="s">
        <v>2066</v>
      </c>
      <c r="G644" s="6" t="s">
        <v>648</v>
      </c>
      <c r="H644" s="6" t="str">
        <f aca="false">IF(D644&lt;=35,"Yes","No")</f>
        <v>Yes</v>
      </c>
      <c r="I644" s="6"/>
    </row>
    <row r="645" customFormat="false" ht="15" hidden="false" customHeight="false" outlineLevel="0" collapsed="false">
      <c r="A645" s="6" t="s">
        <v>2159</v>
      </c>
      <c r="B645" s="6" t="s">
        <v>1853</v>
      </c>
      <c r="C645" s="6" t="n">
        <v>90</v>
      </c>
      <c r="D645" s="6" t="n">
        <v>9</v>
      </c>
      <c r="E645" s="6" t="s">
        <v>649</v>
      </c>
      <c r="F645" s="6" t="s">
        <v>1982</v>
      </c>
      <c r="G645" s="6" t="s">
        <v>648</v>
      </c>
      <c r="H645" s="6" t="str">
        <f aca="false">IF(D645&lt;=35,"Yes","No")</f>
        <v>Yes</v>
      </c>
      <c r="I645" s="6"/>
    </row>
    <row r="646" customFormat="false" ht="15" hidden="false" customHeight="false" outlineLevel="0" collapsed="false">
      <c r="A646" s="6" t="s">
        <v>942</v>
      </c>
      <c r="B646" s="6" t="s">
        <v>1853</v>
      </c>
      <c r="C646" s="6" t="n">
        <v>90</v>
      </c>
      <c r="D646" s="6" t="n">
        <v>5</v>
      </c>
      <c r="E646" s="6" t="s">
        <v>700</v>
      </c>
      <c r="F646" s="6" t="s">
        <v>1897</v>
      </c>
      <c r="G646" s="6" t="s">
        <v>648</v>
      </c>
      <c r="H646" s="6" t="str">
        <f aca="false">IF(D646&lt;=35,"Yes","No")</f>
        <v>Yes</v>
      </c>
      <c r="I646" s="6"/>
    </row>
    <row r="647" customFormat="false" ht="15" hidden="false" customHeight="false" outlineLevel="0" collapsed="false">
      <c r="A647" s="6" t="s">
        <v>2160</v>
      </c>
      <c r="B647" s="6" t="s">
        <v>1853</v>
      </c>
      <c r="C647" s="6" t="n">
        <v>90</v>
      </c>
      <c r="D647" s="6" t="n">
        <v>6</v>
      </c>
      <c r="E647" s="6" t="s">
        <v>692</v>
      </c>
      <c r="F647" s="6" t="s">
        <v>1938</v>
      </c>
      <c r="G647" s="6" t="s">
        <v>648</v>
      </c>
      <c r="H647" s="6" t="str">
        <f aca="false">IF(D647&lt;=35,"Yes","No")</f>
        <v>Yes</v>
      </c>
      <c r="I647" s="6"/>
    </row>
    <row r="648" customFormat="false" ht="15" hidden="false" customHeight="false" outlineLevel="0" collapsed="false">
      <c r="A648" s="6" t="s">
        <v>2161</v>
      </c>
      <c r="B648" s="6" t="s">
        <v>1853</v>
      </c>
      <c r="C648" s="6" t="n">
        <v>90</v>
      </c>
      <c r="D648" s="6" t="n">
        <v>6</v>
      </c>
      <c r="E648" s="6" t="s">
        <v>850</v>
      </c>
      <c r="F648" s="6" t="s">
        <v>1911</v>
      </c>
      <c r="G648" s="6" t="s">
        <v>648</v>
      </c>
      <c r="H648" s="6" t="str">
        <f aca="false">IF(D648&lt;=35,"Yes","No")</f>
        <v>Yes</v>
      </c>
      <c r="I648" s="6"/>
    </row>
    <row r="649" customFormat="false" ht="15" hidden="false" customHeight="false" outlineLevel="0" collapsed="false">
      <c r="A649" s="6" t="s">
        <v>2162</v>
      </c>
      <c r="B649" s="6" t="s">
        <v>1853</v>
      </c>
      <c r="C649" s="6" t="n">
        <v>90</v>
      </c>
      <c r="D649" s="6" t="n">
        <v>5</v>
      </c>
      <c r="E649" s="6" t="s">
        <v>850</v>
      </c>
      <c r="F649" s="6" t="s">
        <v>1963</v>
      </c>
      <c r="G649" s="6" t="s">
        <v>648</v>
      </c>
      <c r="H649" s="6" t="str">
        <f aca="false">IF(D649&lt;=35,"Yes","No")</f>
        <v>Yes</v>
      </c>
      <c r="I649" s="6"/>
    </row>
    <row r="650" customFormat="false" ht="15" hidden="false" customHeight="false" outlineLevel="0" collapsed="false">
      <c r="A650" s="6" t="s">
        <v>1548</v>
      </c>
      <c r="B650" s="6" t="s">
        <v>1853</v>
      </c>
      <c r="C650" s="6" t="n">
        <v>90</v>
      </c>
      <c r="D650" s="6" t="n">
        <v>6</v>
      </c>
      <c r="E650" s="6" t="s">
        <v>700</v>
      </c>
      <c r="F650" s="6" t="s">
        <v>1982</v>
      </c>
      <c r="G650" s="6" t="s">
        <v>648</v>
      </c>
      <c r="H650" s="6" t="str">
        <f aca="false">IF(D650&lt;=35,"Yes","No")</f>
        <v>Yes</v>
      </c>
      <c r="I650" s="6"/>
    </row>
    <row r="651" customFormat="false" ht="15" hidden="false" customHeight="false" outlineLevel="0" collapsed="false">
      <c r="A651" s="6" t="s">
        <v>1871</v>
      </c>
      <c r="B651" s="6" t="s">
        <v>198</v>
      </c>
      <c r="C651" s="6" t="n">
        <v>90</v>
      </c>
      <c r="D651" s="6" t="n">
        <v>6</v>
      </c>
      <c r="E651" s="6" t="s">
        <v>649</v>
      </c>
      <c r="F651" s="6" t="s">
        <v>1872</v>
      </c>
      <c r="G651" s="6" t="s">
        <v>648</v>
      </c>
      <c r="H651" s="6" t="str">
        <f aca="false">IF(D651&lt;=35,"Yes","No")</f>
        <v>Yes</v>
      </c>
      <c r="I651" s="6"/>
    </row>
    <row r="652" customFormat="false" ht="15" hidden="false" customHeight="false" outlineLevel="0" collapsed="false">
      <c r="A652" s="6" t="s">
        <v>1958</v>
      </c>
      <c r="B652" s="6" t="s">
        <v>198</v>
      </c>
      <c r="C652" s="6" t="n">
        <v>90</v>
      </c>
      <c r="D652" s="6" t="n">
        <v>20</v>
      </c>
      <c r="E652" s="6" t="s">
        <v>649</v>
      </c>
      <c r="F652" s="6" t="s">
        <v>1905</v>
      </c>
      <c r="G652" s="6" t="s">
        <v>648</v>
      </c>
      <c r="H652" s="6" t="str">
        <f aca="false">IF(D652&lt;=35,"Yes","No")</f>
        <v>Yes</v>
      </c>
      <c r="I652" s="6"/>
    </row>
    <row r="653" customFormat="false" ht="15" hidden="false" customHeight="false" outlineLevel="0" collapsed="false">
      <c r="A653" s="6" t="s">
        <v>701</v>
      </c>
      <c r="B653" s="6" t="s">
        <v>198</v>
      </c>
      <c r="C653" s="6" t="n">
        <v>90</v>
      </c>
      <c r="D653" s="6" t="n">
        <v>6</v>
      </c>
      <c r="E653" s="6" t="s">
        <v>700</v>
      </c>
      <c r="F653" s="6" t="s">
        <v>1895</v>
      </c>
      <c r="G653" s="6" t="s">
        <v>648</v>
      </c>
      <c r="H653" s="6" t="str">
        <f aca="false">IF(D653&lt;=35,"Yes","No")</f>
        <v>Yes</v>
      </c>
      <c r="I653" s="6"/>
    </row>
    <row r="654" customFormat="false" ht="15" hidden="false" customHeight="false" outlineLevel="0" collapsed="false">
      <c r="A654" s="6" t="s">
        <v>1452</v>
      </c>
      <c r="B654" s="6" t="s">
        <v>198</v>
      </c>
      <c r="C654" s="6" t="n">
        <v>90</v>
      </c>
      <c r="D654" s="6" t="n">
        <v>4</v>
      </c>
      <c r="E654" s="6" t="s">
        <v>850</v>
      </c>
      <c r="F654" s="6" t="s">
        <v>1895</v>
      </c>
      <c r="G654" s="6" t="s">
        <v>648</v>
      </c>
      <c r="H654" s="6" t="str">
        <f aca="false">IF(D654&lt;=35,"Yes","No")</f>
        <v>Yes</v>
      </c>
      <c r="I654" s="6"/>
    </row>
    <row r="655" customFormat="false" ht="15" hidden="false" customHeight="false" outlineLevel="0" collapsed="false">
      <c r="A655" s="6" t="s">
        <v>2163</v>
      </c>
      <c r="B655" s="6" t="s">
        <v>1853</v>
      </c>
      <c r="C655" s="6" t="n">
        <v>90</v>
      </c>
      <c r="D655" s="6" t="n">
        <v>6</v>
      </c>
      <c r="E655" s="6" t="s">
        <v>642</v>
      </c>
      <c r="F655" s="6" t="s">
        <v>1860</v>
      </c>
      <c r="G655" s="6" t="s">
        <v>627</v>
      </c>
      <c r="H655" s="6" t="str">
        <f aca="false">IF(D655&lt;=35,"Yes","No")</f>
        <v>Yes</v>
      </c>
      <c r="I655" s="6"/>
    </row>
    <row r="656" customFormat="false" ht="15" hidden="false" customHeight="false" outlineLevel="0" collapsed="false">
      <c r="A656" s="6" t="s">
        <v>1967</v>
      </c>
      <c r="B656" s="6" t="s">
        <v>1853</v>
      </c>
      <c r="C656" s="6" t="n">
        <v>90</v>
      </c>
      <c r="D656" s="6" t="n">
        <v>6</v>
      </c>
      <c r="E656" s="6" t="s">
        <v>738</v>
      </c>
      <c r="F656" s="6" t="s">
        <v>1968</v>
      </c>
      <c r="G656" s="6" t="s">
        <v>627</v>
      </c>
      <c r="H656" s="6" t="str">
        <f aca="false">IF(D656&lt;=35,"Yes","No")</f>
        <v>Yes</v>
      </c>
      <c r="I656" s="6"/>
    </row>
    <row r="657" customFormat="false" ht="15" hidden="false" customHeight="false" outlineLevel="0" collapsed="false">
      <c r="A657" s="6" t="s">
        <v>1587</v>
      </c>
      <c r="B657" s="6" t="s">
        <v>198</v>
      </c>
      <c r="C657" s="6" t="n">
        <v>90</v>
      </c>
      <c r="D657" s="6" t="n">
        <v>9</v>
      </c>
      <c r="E657" s="6" t="s">
        <v>881</v>
      </c>
      <c r="F657" s="6" t="s">
        <v>2141</v>
      </c>
      <c r="G657" s="6" t="s">
        <v>627</v>
      </c>
      <c r="H657" s="6" t="str">
        <f aca="false">IF(D657&lt;=35,"Yes","No")</f>
        <v>Yes</v>
      </c>
      <c r="I657" s="6"/>
    </row>
    <row r="658" customFormat="false" ht="15" hidden="false" customHeight="false" outlineLevel="0" collapsed="false">
      <c r="A658" s="6" t="s">
        <v>2164</v>
      </c>
      <c r="B658" s="6" t="s">
        <v>1853</v>
      </c>
      <c r="C658" s="6" t="n">
        <v>90</v>
      </c>
      <c r="D658" s="6" t="n">
        <v>7</v>
      </c>
      <c r="E658" s="6" t="s">
        <v>700</v>
      </c>
      <c r="F658" s="6" t="s">
        <v>2142</v>
      </c>
      <c r="G658" s="6" t="s">
        <v>648</v>
      </c>
      <c r="H658" s="6" t="str">
        <f aca="false">IF(D658&lt;=35,"Yes","No")</f>
        <v>Yes</v>
      </c>
      <c r="I658" s="6"/>
    </row>
    <row r="659" customFormat="false" ht="15" hidden="false" customHeight="false" outlineLevel="0" collapsed="false">
      <c r="A659" s="6" t="s">
        <v>1064</v>
      </c>
      <c r="B659" s="6" t="s">
        <v>198</v>
      </c>
      <c r="C659" s="6" t="n">
        <v>90</v>
      </c>
      <c r="D659" s="6" t="n">
        <v>9</v>
      </c>
      <c r="E659" s="6" t="s">
        <v>649</v>
      </c>
      <c r="F659" s="6" t="s">
        <v>2035</v>
      </c>
      <c r="G659" s="6" t="s">
        <v>648</v>
      </c>
      <c r="H659" s="6" t="str">
        <f aca="false">IF(D659&lt;=35,"Yes","No")</f>
        <v>Yes</v>
      </c>
      <c r="I659" s="6"/>
    </row>
    <row r="660" customFormat="false" ht="15" hidden="false" customHeight="false" outlineLevel="0" collapsed="false">
      <c r="A660" s="6" t="s">
        <v>2165</v>
      </c>
      <c r="B660" s="6" t="s">
        <v>198</v>
      </c>
      <c r="C660" s="6" t="n">
        <v>90</v>
      </c>
      <c r="D660" s="6" t="n">
        <v>10</v>
      </c>
      <c r="E660" s="6" t="s">
        <v>642</v>
      </c>
      <c r="F660" s="6" t="s">
        <v>2166</v>
      </c>
      <c r="G660" s="6" t="s">
        <v>627</v>
      </c>
      <c r="H660" s="6" t="str">
        <f aca="false">IF(D660&lt;=35,"Yes","No")</f>
        <v>Yes</v>
      </c>
      <c r="I660" s="6"/>
    </row>
    <row r="661" customFormat="false" ht="15" hidden="false" customHeight="false" outlineLevel="0" collapsed="false">
      <c r="A661" s="6" t="s">
        <v>2167</v>
      </c>
      <c r="B661" s="6" t="s">
        <v>1853</v>
      </c>
      <c r="C661" s="6" t="n">
        <v>80</v>
      </c>
      <c r="D661" s="6" t="n">
        <v>17</v>
      </c>
      <c r="E661" s="6" t="s">
        <v>649</v>
      </c>
      <c r="F661" s="6" t="s">
        <v>1925</v>
      </c>
      <c r="G661" s="6" t="s">
        <v>648</v>
      </c>
      <c r="H661" s="6" t="str">
        <f aca="false">IF(D661&lt;=35,"Yes","No")</f>
        <v>Yes</v>
      </c>
      <c r="I661" s="6"/>
    </row>
    <row r="662" customFormat="false" ht="15" hidden="false" customHeight="false" outlineLevel="0" collapsed="false">
      <c r="A662" s="6" t="s">
        <v>2128</v>
      </c>
      <c r="B662" s="6" t="s">
        <v>1853</v>
      </c>
      <c r="C662" s="6" t="n">
        <v>80</v>
      </c>
      <c r="D662" s="6" t="n">
        <v>13</v>
      </c>
      <c r="E662" s="6" t="s">
        <v>649</v>
      </c>
      <c r="F662" s="6" t="s">
        <v>1866</v>
      </c>
      <c r="G662" s="6" t="s">
        <v>648</v>
      </c>
      <c r="H662" s="6" t="str">
        <f aca="false">IF(D662&lt;=35,"Yes","No")</f>
        <v>Yes</v>
      </c>
      <c r="I662" s="6"/>
    </row>
    <row r="663" customFormat="false" ht="15" hidden="false" customHeight="false" outlineLevel="0" collapsed="false">
      <c r="A663" s="6" t="s">
        <v>2130</v>
      </c>
      <c r="B663" s="6" t="s">
        <v>1853</v>
      </c>
      <c r="C663" s="6" t="n">
        <v>80</v>
      </c>
      <c r="D663" s="6" t="n">
        <v>0</v>
      </c>
      <c r="E663" s="6" t="s">
        <v>649</v>
      </c>
      <c r="F663" s="6" t="s">
        <v>1863</v>
      </c>
      <c r="G663" s="6" t="s">
        <v>648</v>
      </c>
      <c r="H663" s="6" t="str">
        <f aca="false">IF(D663&lt;=35,"Yes","No")</f>
        <v>Yes</v>
      </c>
      <c r="I663" s="6"/>
    </row>
    <row r="664" customFormat="false" ht="15" hidden="false" customHeight="false" outlineLevel="0" collapsed="false">
      <c r="A664" s="6" t="s">
        <v>1680</v>
      </c>
      <c r="B664" s="6" t="s">
        <v>1853</v>
      </c>
      <c r="C664" s="6" t="n">
        <v>80</v>
      </c>
      <c r="D664" s="6" t="n">
        <v>11</v>
      </c>
      <c r="E664" s="6" t="s">
        <v>700</v>
      </c>
      <c r="F664" s="6" t="s">
        <v>1860</v>
      </c>
      <c r="G664" s="6" t="s">
        <v>648</v>
      </c>
      <c r="H664" s="6" t="str">
        <f aca="false">IF(D664&lt;=35,"Yes","No")</f>
        <v>Yes</v>
      </c>
      <c r="I664" s="6"/>
    </row>
    <row r="665" customFormat="false" ht="15" hidden="false" customHeight="false" outlineLevel="0" collapsed="false">
      <c r="A665" s="6" t="s">
        <v>2079</v>
      </c>
      <c r="B665" s="6" t="s">
        <v>198</v>
      </c>
      <c r="C665" s="6" t="n">
        <v>80</v>
      </c>
      <c r="D665" s="6" t="n">
        <v>8</v>
      </c>
      <c r="E665" s="6" t="s">
        <v>649</v>
      </c>
      <c r="F665" s="6" t="s">
        <v>1963</v>
      </c>
      <c r="G665" s="6" t="s">
        <v>648</v>
      </c>
      <c r="H665" s="6" t="str">
        <f aca="false">IF(D665&lt;=35,"Yes","No")</f>
        <v>Yes</v>
      </c>
      <c r="I665" s="6"/>
    </row>
    <row r="666" customFormat="false" ht="15" hidden="false" customHeight="false" outlineLevel="0" collapsed="false">
      <c r="A666" s="6" t="s">
        <v>989</v>
      </c>
      <c r="B666" s="6" t="s">
        <v>198</v>
      </c>
      <c r="C666" s="6" t="n">
        <v>80</v>
      </c>
      <c r="D666" s="6" t="n">
        <v>5</v>
      </c>
      <c r="E666" s="6" t="s">
        <v>700</v>
      </c>
      <c r="F666" s="6" t="s">
        <v>1946</v>
      </c>
      <c r="G666" s="6" t="s">
        <v>648</v>
      </c>
      <c r="H666" s="6" t="str">
        <f aca="false">IF(D666&lt;=35,"Yes","No")</f>
        <v>Yes</v>
      </c>
      <c r="I666" s="6"/>
    </row>
    <row r="667" customFormat="false" ht="15" hidden="false" customHeight="false" outlineLevel="0" collapsed="false">
      <c r="A667" s="6" t="s">
        <v>2168</v>
      </c>
      <c r="B667" s="6" t="s">
        <v>1853</v>
      </c>
      <c r="C667" s="6" t="n">
        <v>80</v>
      </c>
      <c r="D667" s="6" t="n">
        <v>6</v>
      </c>
      <c r="E667" s="6" t="s">
        <v>642</v>
      </c>
      <c r="F667" s="6" t="s">
        <v>1925</v>
      </c>
      <c r="G667" s="6" t="s">
        <v>627</v>
      </c>
      <c r="H667" s="6" t="str">
        <f aca="false">IF(D667&lt;=35,"Yes","No")</f>
        <v>Yes</v>
      </c>
      <c r="I667" s="6"/>
    </row>
    <row r="668" customFormat="false" ht="15" hidden="false" customHeight="false" outlineLevel="0" collapsed="false">
      <c r="A668" s="6" t="s">
        <v>743</v>
      </c>
      <c r="B668" s="6" t="s">
        <v>198</v>
      </c>
      <c r="C668" s="6" t="n">
        <v>80</v>
      </c>
      <c r="D668" s="6" t="n">
        <v>12</v>
      </c>
      <c r="E668" s="6" t="s">
        <v>642</v>
      </c>
      <c r="F668" s="6" t="s">
        <v>1876</v>
      </c>
      <c r="G668" s="6" t="s">
        <v>627</v>
      </c>
      <c r="H668" s="6" t="str">
        <f aca="false">IF(D668&lt;=35,"Yes","No")</f>
        <v>Yes</v>
      </c>
      <c r="I668" s="6"/>
    </row>
    <row r="669" customFormat="false" ht="15" hidden="false" customHeight="false" outlineLevel="0" collapsed="false">
      <c r="A669" s="6" t="s">
        <v>1585</v>
      </c>
      <c r="B669" s="6" t="s">
        <v>1853</v>
      </c>
      <c r="C669" s="6" t="n">
        <v>70</v>
      </c>
      <c r="D669" s="6" t="n">
        <v>11</v>
      </c>
      <c r="E669" s="6" t="s">
        <v>1308</v>
      </c>
      <c r="F669" s="6" t="s">
        <v>1920</v>
      </c>
      <c r="G669" s="6" t="s">
        <v>648</v>
      </c>
      <c r="H669" s="6" t="str">
        <f aca="false">IF(D669&lt;=35,"Yes","No")</f>
        <v>Yes</v>
      </c>
      <c r="I669" s="6"/>
    </row>
    <row r="670" customFormat="false" ht="15" hidden="false" customHeight="false" outlineLevel="0" collapsed="false">
      <c r="A670" s="6" t="s">
        <v>1713</v>
      </c>
      <c r="B670" s="6" t="s">
        <v>1853</v>
      </c>
      <c r="C670" s="6" t="n">
        <v>70</v>
      </c>
      <c r="D670" s="6" t="n">
        <v>11</v>
      </c>
      <c r="E670" s="6" t="s">
        <v>1308</v>
      </c>
      <c r="F670" s="6" t="s">
        <v>1897</v>
      </c>
      <c r="G670" s="6" t="s">
        <v>648</v>
      </c>
      <c r="H670" s="6" t="str">
        <f aca="false">IF(D670&lt;=35,"Yes","No")</f>
        <v>Yes</v>
      </c>
      <c r="I670" s="6"/>
    </row>
    <row r="671" customFormat="false" ht="15" hidden="false" customHeight="false" outlineLevel="0" collapsed="false">
      <c r="A671" s="6" t="s">
        <v>2169</v>
      </c>
      <c r="B671" s="6" t="s">
        <v>1853</v>
      </c>
      <c r="C671" s="6" t="n">
        <v>70</v>
      </c>
      <c r="D671" s="6" t="n">
        <v>18</v>
      </c>
      <c r="E671" s="6" t="s">
        <v>1308</v>
      </c>
      <c r="F671" s="6" t="s">
        <v>1863</v>
      </c>
      <c r="G671" s="6" t="s">
        <v>648</v>
      </c>
      <c r="H671" s="6" t="str">
        <f aca="false">IF(D671&lt;=35,"Yes","No")</f>
        <v>Yes</v>
      </c>
      <c r="I671" s="6"/>
    </row>
    <row r="672" customFormat="false" ht="15" hidden="false" customHeight="false" outlineLevel="0" collapsed="false">
      <c r="A672" s="6" t="s">
        <v>2170</v>
      </c>
      <c r="B672" s="6" t="s">
        <v>1853</v>
      </c>
      <c r="C672" s="6" t="n">
        <v>70</v>
      </c>
      <c r="D672" s="6" t="n">
        <v>7</v>
      </c>
      <c r="E672" s="6" t="s">
        <v>784</v>
      </c>
      <c r="F672" s="6" t="s">
        <v>2066</v>
      </c>
      <c r="G672" s="6" t="s">
        <v>648</v>
      </c>
      <c r="H672" s="6" t="str">
        <f aca="false">IF(D672&lt;=35,"Yes","No")</f>
        <v>Yes</v>
      </c>
      <c r="I672" s="6"/>
    </row>
    <row r="673" customFormat="false" ht="15" hidden="false" customHeight="false" outlineLevel="0" collapsed="false">
      <c r="A673" s="6" t="s">
        <v>1835</v>
      </c>
      <c r="B673" s="6" t="s">
        <v>1853</v>
      </c>
      <c r="C673" s="6" t="n">
        <v>70</v>
      </c>
      <c r="D673" s="6" t="n">
        <v>10</v>
      </c>
      <c r="E673" s="6" t="s">
        <v>649</v>
      </c>
      <c r="F673" s="6" t="s">
        <v>1946</v>
      </c>
      <c r="G673" s="6" t="s">
        <v>648</v>
      </c>
      <c r="H673" s="6" t="str">
        <f aca="false">IF(D673&lt;=35,"Yes","No")</f>
        <v>Yes</v>
      </c>
      <c r="I673" s="6"/>
    </row>
    <row r="674" customFormat="false" ht="15" hidden="false" customHeight="false" outlineLevel="0" collapsed="false">
      <c r="A674" s="6" t="s">
        <v>1032</v>
      </c>
      <c r="B674" s="6" t="s">
        <v>1853</v>
      </c>
      <c r="C674" s="6" t="n">
        <v>70</v>
      </c>
      <c r="D674" s="6" t="n">
        <v>7</v>
      </c>
      <c r="E674" s="6" t="s">
        <v>700</v>
      </c>
      <c r="F674" s="6" t="s">
        <v>1901</v>
      </c>
      <c r="G674" s="6" t="s">
        <v>648</v>
      </c>
      <c r="H674" s="6" t="str">
        <f aca="false">IF(D674&lt;=35,"Yes","No")</f>
        <v>Yes</v>
      </c>
      <c r="I674" s="6"/>
    </row>
    <row r="675" customFormat="false" ht="15" hidden="false" customHeight="false" outlineLevel="0" collapsed="false">
      <c r="A675" s="6" t="s">
        <v>811</v>
      </c>
      <c r="B675" s="6" t="s">
        <v>1853</v>
      </c>
      <c r="C675" s="6" t="n">
        <v>70</v>
      </c>
      <c r="D675" s="6" t="n">
        <v>11</v>
      </c>
      <c r="E675" s="6" t="s">
        <v>700</v>
      </c>
      <c r="F675" s="6" t="s">
        <v>1931</v>
      </c>
      <c r="G675" s="6" t="s">
        <v>648</v>
      </c>
      <c r="H675" s="6" t="str">
        <f aca="false">IF(D675&lt;=35,"Yes","No")</f>
        <v>Yes</v>
      </c>
      <c r="I675" s="6"/>
    </row>
    <row r="676" customFormat="false" ht="15" hidden="false" customHeight="false" outlineLevel="0" collapsed="false">
      <c r="A676" s="6" t="s">
        <v>2171</v>
      </c>
      <c r="B676" s="6" t="s">
        <v>1853</v>
      </c>
      <c r="C676" s="6" t="n">
        <v>70</v>
      </c>
      <c r="D676" s="6" t="n">
        <v>11</v>
      </c>
      <c r="E676" s="6" t="s">
        <v>692</v>
      </c>
      <c r="F676" s="6" t="s">
        <v>1872</v>
      </c>
      <c r="G676" s="6" t="s">
        <v>648</v>
      </c>
      <c r="H676" s="6" t="str">
        <f aca="false">IF(D676&lt;=35,"Yes","No")</f>
        <v>Yes</v>
      </c>
      <c r="I676" s="6"/>
    </row>
    <row r="677" customFormat="false" ht="15" hidden="false" customHeight="false" outlineLevel="0" collapsed="false">
      <c r="A677" s="6" t="s">
        <v>2172</v>
      </c>
      <c r="B677" s="6" t="s">
        <v>1853</v>
      </c>
      <c r="C677" s="6" t="n">
        <v>70</v>
      </c>
      <c r="D677" s="6" t="n">
        <v>9</v>
      </c>
      <c r="E677" s="6" t="s">
        <v>850</v>
      </c>
      <c r="F677" s="6" t="s">
        <v>1881</v>
      </c>
      <c r="G677" s="6" t="s">
        <v>648</v>
      </c>
      <c r="H677" s="6" t="str">
        <f aca="false">IF(D677&lt;=35,"Yes","No")</f>
        <v>Yes</v>
      </c>
      <c r="I677" s="6"/>
    </row>
    <row r="678" customFormat="false" ht="15" hidden="false" customHeight="false" outlineLevel="0" collapsed="false">
      <c r="A678" s="6" t="s">
        <v>2173</v>
      </c>
      <c r="B678" s="6" t="s">
        <v>1853</v>
      </c>
      <c r="C678" s="6" t="n">
        <v>70</v>
      </c>
      <c r="D678" s="6" t="n">
        <v>6</v>
      </c>
      <c r="E678" s="6" t="s">
        <v>700</v>
      </c>
      <c r="F678" s="6" t="s">
        <v>1914</v>
      </c>
      <c r="G678" s="6" t="s">
        <v>648</v>
      </c>
      <c r="H678" s="6" t="str">
        <f aca="false">IF(D678&lt;=35,"Yes","No")</f>
        <v>Yes</v>
      </c>
      <c r="I678" s="6"/>
    </row>
    <row r="679" customFormat="false" ht="15" hidden="false" customHeight="false" outlineLevel="0" collapsed="false">
      <c r="A679" s="6" t="s">
        <v>1585</v>
      </c>
      <c r="B679" s="6" t="s">
        <v>198</v>
      </c>
      <c r="C679" s="6" t="n">
        <v>70</v>
      </c>
      <c r="D679" s="6" t="n">
        <v>0</v>
      </c>
      <c r="E679" s="6" t="s">
        <v>1308</v>
      </c>
      <c r="F679" s="6" t="s">
        <v>1920</v>
      </c>
      <c r="G679" s="6" t="s">
        <v>648</v>
      </c>
      <c r="H679" s="6" t="str">
        <f aca="false">IF(D679&lt;=35,"Yes","No")</f>
        <v>Yes</v>
      </c>
      <c r="I679" s="6"/>
    </row>
    <row r="680" customFormat="false" ht="15" hidden="false" customHeight="false" outlineLevel="0" collapsed="false">
      <c r="A680" s="6" t="s">
        <v>1713</v>
      </c>
      <c r="B680" s="6" t="s">
        <v>198</v>
      </c>
      <c r="C680" s="6" t="n">
        <v>70</v>
      </c>
      <c r="D680" s="6" t="n">
        <v>10</v>
      </c>
      <c r="E680" s="6" t="s">
        <v>1308</v>
      </c>
      <c r="F680" s="6" t="s">
        <v>1897</v>
      </c>
      <c r="G680" s="6" t="s">
        <v>648</v>
      </c>
      <c r="H680" s="6" t="str">
        <f aca="false">IF(D680&lt;=35,"Yes","No")</f>
        <v>Yes</v>
      </c>
      <c r="I680" s="6"/>
    </row>
    <row r="681" customFormat="false" ht="15" hidden="false" customHeight="false" outlineLevel="0" collapsed="false">
      <c r="A681" s="6" t="s">
        <v>2174</v>
      </c>
      <c r="B681" s="6" t="s">
        <v>198</v>
      </c>
      <c r="C681" s="6" t="n">
        <v>70</v>
      </c>
      <c r="D681" s="6" t="n">
        <v>8</v>
      </c>
      <c r="E681" s="6" t="s">
        <v>784</v>
      </c>
      <c r="F681" s="6" t="s">
        <v>1901</v>
      </c>
      <c r="G681" s="6" t="s">
        <v>648</v>
      </c>
      <c r="H681" s="6" t="str">
        <f aca="false">IF(D681&lt;=35,"Yes","No")</f>
        <v>Yes</v>
      </c>
      <c r="I681" s="6"/>
    </row>
    <row r="682" customFormat="false" ht="15" hidden="false" customHeight="false" outlineLevel="0" collapsed="false">
      <c r="A682" s="6" t="s">
        <v>2175</v>
      </c>
      <c r="B682" s="6" t="s">
        <v>198</v>
      </c>
      <c r="C682" s="6" t="n">
        <v>70</v>
      </c>
      <c r="D682" s="6" t="n">
        <v>16</v>
      </c>
      <c r="E682" s="6" t="s">
        <v>649</v>
      </c>
      <c r="F682" s="6" t="s">
        <v>1946</v>
      </c>
      <c r="G682" s="6" t="s">
        <v>648</v>
      </c>
      <c r="H682" s="6" t="str">
        <f aca="false">IF(D682&lt;=35,"Yes","No")</f>
        <v>Yes</v>
      </c>
      <c r="I682" s="6"/>
    </row>
    <row r="683" customFormat="false" ht="15" hidden="false" customHeight="false" outlineLevel="0" collapsed="false">
      <c r="A683" s="6" t="s">
        <v>695</v>
      </c>
      <c r="B683" s="6" t="s">
        <v>198</v>
      </c>
      <c r="C683" s="6" t="n">
        <v>70</v>
      </c>
      <c r="D683" s="6" t="n">
        <v>5</v>
      </c>
      <c r="E683" s="6" t="s">
        <v>649</v>
      </c>
      <c r="F683" s="6" t="s">
        <v>1885</v>
      </c>
      <c r="G683" s="6" t="s">
        <v>648</v>
      </c>
      <c r="H683" s="6" t="str">
        <f aca="false">IF(D683&lt;=35,"Yes","No")</f>
        <v>Yes</v>
      </c>
      <c r="I683" s="6"/>
    </row>
    <row r="684" customFormat="false" ht="15" hidden="false" customHeight="false" outlineLevel="0" collapsed="false">
      <c r="A684" s="6" t="s">
        <v>1361</v>
      </c>
      <c r="B684" s="6" t="s">
        <v>198</v>
      </c>
      <c r="C684" s="6" t="n">
        <v>70</v>
      </c>
      <c r="D684" s="6" t="n">
        <v>8</v>
      </c>
      <c r="E684" s="6" t="s">
        <v>649</v>
      </c>
      <c r="F684" s="6" t="s">
        <v>1948</v>
      </c>
      <c r="G684" s="6" t="s">
        <v>648</v>
      </c>
      <c r="H684" s="6" t="str">
        <f aca="false">IF(D684&lt;=35,"Yes","No")</f>
        <v>Yes</v>
      </c>
      <c r="I684" s="6"/>
    </row>
    <row r="685" customFormat="false" ht="15" hidden="false" customHeight="false" outlineLevel="0" collapsed="false">
      <c r="A685" s="6" t="s">
        <v>973</v>
      </c>
      <c r="B685" s="6" t="s">
        <v>198</v>
      </c>
      <c r="C685" s="6" t="n">
        <v>70</v>
      </c>
      <c r="D685" s="6" t="n">
        <v>10</v>
      </c>
      <c r="E685" s="6" t="s">
        <v>700</v>
      </c>
      <c r="F685" s="6" t="s">
        <v>1988</v>
      </c>
      <c r="G685" s="6" t="s">
        <v>648</v>
      </c>
      <c r="H685" s="6" t="str">
        <f aca="false">IF(D685&lt;=35,"Yes","No")</f>
        <v>Yes</v>
      </c>
      <c r="I685" s="6"/>
    </row>
    <row r="686" customFormat="false" ht="15" hidden="false" customHeight="false" outlineLevel="0" collapsed="false">
      <c r="A686" s="6" t="s">
        <v>1408</v>
      </c>
      <c r="B686" s="6" t="s">
        <v>198</v>
      </c>
      <c r="C686" s="6" t="n">
        <v>70</v>
      </c>
      <c r="D686" s="6" t="n">
        <v>10</v>
      </c>
      <c r="E686" s="6" t="s">
        <v>692</v>
      </c>
      <c r="F686" s="6" t="s">
        <v>1920</v>
      </c>
      <c r="G686" s="6" t="s">
        <v>648</v>
      </c>
      <c r="H686" s="6" t="str">
        <f aca="false">IF(D686&lt;=35,"Yes","No")</f>
        <v>Yes</v>
      </c>
      <c r="I686" s="6"/>
    </row>
    <row r="687" customFormat="false" ht="15" hidden="false" customHeight="false" outlineLevel="0" collapsed="false">
      <c r="A687" s="6" t="s">
        <v>1449</v>
      </c>
      <c r="B687" s="6" t="s">
        <v>198</v>
      </c>
      <c r="C687" s="6" t="n">
        <v>70</v>
      </c>
      <c r="D687" s="6" t="n">
        <v>5</v>
      </c>
      <c r="E687" s="6" t="s">
        <v>692</v>
      </c>
      <c r="F687" s="6" t="s">
        <v>1982</v>
      </c>
      <c r="G687" s="6" t="s">
        <v>648</v>
      </c>
      <c r="H687" s="6" t="str">
        <f aca="false">IF(D687&lt;=35,"Yes","No")</f>
        <v>Yes</v>
      </c>
      <c r="I687" s="6"/>
    </row>
    <row r="688" customFormat="false" ht="15" hidden="false" customHeight="false" outlineLevel="0" collapsed="false">
      <c r="A688" s="6" t="s">
        <v>1795</v>
      </c>
      <c r="B688" s="6" t="s">
        <v>198</v>
      </c>
      <c r="C688" s="6" t="n">
        <v>70</v>
      </c>
      <c r="D688" s="6" t="n">
        <v>12</v>
      </c>
      <c r="E688" s="6" t="s">
        <v>692</v>
      </c>
      <c r="F688" s="6" t="s">
        <v>1905</v>
      </c>
      <c r="G688" s="6" t="s">
        <v>648</v>
      </c>
      <c r="H688" s="6" t="str">
        <f aca="false">IF(D688&lt;=35,"Yes","No")</f>
        <v>Yes</v>
      </c>
      <c r="I688" s="6"/>
    </row>
    <row r="689" customFormat="false" ht="15" hidden="false" customHeight="false" outlineLevel="0" collapsed="false">
      <c r="A689" s="6" t="s">
        <v>2176</v>
      </c>
      <c r="B689" s="6" t="s">
        <v>198</v>
      </c>
      <c r="C689" s="6" t="n">
        <v>70</v>
      </c>
      <c r="D689" s="6" t="n">
        <v>7</v>
      </c>
      <c r="E689" s="6" t="s">
        <v>700</v>
      </c>
      <c r="F689" s="6" t="s">
        <v>1885</v>
      </c>
      <c r="G689" s="6" t="s">
        <v>648</v>
      </c>
      <c r="H689" s="6" t="str">
        <f aca="false">IF(D689&lt;=35,"Yes","No")</f>
        <v>Yes</v>
      </c>
      <c r="I689" s="6"/>
    </row>
    <row r="690" customFormat="false" ht="15" hidden="false" customHeight="false" outlineLevel="0" collapsed="false">
      <c r="A690" s="6" t="s">
        <v>1594</v>
      </c>
      <c r="B690" s="6" t="s">
        <v>198</v>
      </c>
      <c r="C690" s="6" t="n">
        <v>70</v>
      </c>
      <c r="D690" s="6" t="n">
        <v>6</v>
      </c>
      <c r="E690" s="6" t="s">
        <v>700</v>
      </c>
      <c r="F690" s="6" t="s">
        <v>2066</v>
      </c>
      <c r="G690" s="6" t="s">
        <v>648</v>
      </c>
      <c r="H690" s="6" t="str">
        <f aca="false">IF(D690&lt;=35,"Yes","No")</f>
        <v>Yes</v>
      </c>
      <c r="I690" s="6"/>
    </row>
    <row r="691" customFormat="false" ht="15" hidden="false" customHeight="false" outlineLevel="0" collapsed="false">
      <c r="A691" s="6" t="s">
        <v>1548</v>
      </c>
      <c r="B691" s="6" t="s">
        <v>198</v>
      </c>
      <c r="C691" s="6" t="n">
        <v>70</v>
      </c>
      <c r="D691" s="6" t="n">
        <v>5</v>
      </c>
      <c r="E691" s="6" t="s">
        <v>700</v>
      </c>
      <c r="F691" s="6" t="s">
        <v>1982</v>
      </c>
      <c r="G691" s="6" t="s">
        <v>648</v>
      </c>
      <c r="H691" s="6" t="str">
        <f aca="false">IF(D691&lt;=35,"Yes","No")</f>
        <v>Yes</v>
      </c>
      <c r="I691" s="6"/>
    </row>
    <row r="692" customFormat="false" ht="15" hidden="false" customHeight="false" outlineLevel="0" collapsed="false">
      <c r="A692" s="6" t="s">
        <v>1702</v>
      </c>
      <c r="B692" s="6" t="s">
        <v>1853</v>
      </c>
      <c r="C692" s="6" t="n">
        <v>70</v>
      </c>
      <c r="D692" s="6" t="n">
        <v>6</v>
      </c>
      <c r="E692" s="6" t="s">
        <v>738</v>
      </c>
      <c r="F692" s="6" t="s">
        <v>2177</v>
      </c>
      <c r="G692" s="6" t="s">
        <v>627</v>
      </c>
      <c r="H692" s="6" t="str">
        <f aca="false">IF(D692&lt;=35,"Yes","No")</f>
        <v>Yes</v>
      </c>
      <c r="I692" s="6"/>
    </row>
    <row r="693" customFormat="false" ht="15" hidden="false" customHeight="false" outlineLevel="0" collapsed="false">
      <c r="A693" s="6" t="s">
        <v>105</v>
      </c>
      <c r="B693" s="6" t="s">
        <v>198</v>
      </c>
      <c r="C693" s="6" t="n">
        <v>70</v>
      </c>
      <c r="D693" s="6" t="n">
        <v>12</v>
      </c>
      <c r="E693" s="6" t="s">
        <v>642</v>
      </c>
      <c r="F693" s="6" t="s">
        <v>1891</v>
      </c>
      <c r="G693" s="6" t="s">
        <v>627</v>
      </c>
      <c r="H693" s="6" t="str">
        <f aca="false">IF(D693&lt;=35,"Yes","No")</f>
        <v>Yes</v>
      </c>
      <c r="I693" s="6"/>
    </row>
    <row r="694" customFormat="false" ht="15" hidden="false" customHeight="false" outlineLevel="0" collapsed="false">
      <c r="A694" s="6" t="s">
        <v>2178</v>
      </c>
      <c r="B694" s="6" t="s">
        <v>1853</v>
      </c>
      <c r="C694" s="6" t="n">
        <v>70</v>
      </c>
      <c r="D694" s="6" t="n">
        <v>14</v>
      </c>
      <c r="E694" s="6" t="s">
        <v>796</v>
      </c>
      <c r="F694" s="6" t="s">
        <v>2179</v>
      </c>
      <c r="G694" s="6" t="s">
        <v>648</v>
      </c>
      <c r="H694" s="6" t="str">
        <f aca="false">IF(D694&lt;=35,"Yes","No")</f>
        <v>Yes</v>
      </c>
      <c r="I694" s="6"/>
    </row>
    <row r="695" customFormat="false" ht="15" hidden="false" customHeight="false" outlineLevel="0" collapsed="false">
      <c r="A695" s="6" t="s">
        <v>2180</v>
      </c>
      <c r="B695" s="6" t="s">
        <v>1853</v>
      </c>
      <c r="C695" s="6" t="n">
        <v>70</v>
      </c>
      <c r="D695" s="6" t="n">
        <v>19</v>
      </c>
      <c r="E695" s="6" t="s">
        <v>796</v>
      </c>
      <c r="F695" s="6" t="s">
        <v>1931</v>
      </c>
      <c r="G695" s="6" t="s">
        <v>648</v>
      </c>
      <c r="H695" s="6" t="str">
        <f aca="false">IF(D695&lt;=35,"Yes","No")</f>
        <v>Yes</v>
      </c>
      <c r="I695" s="6"/>
    </row>
    <row r="696" customFormat="false" ht="15" hidden="false" customHeight="false" outlineLevel="0" collapsed="false">
      <c r="A696" s="6" t="s">
        <v>1290</v>
      </c>
      <c r="B696" s="6" t="s">
        <v>1853</v>
      </c>
      <c r="C696" s="6" t="n">
        <v>70</v>
      </c>
      <c r="D696" s="6" t="n">
        <v>17</v>
      </c>
      <c r="E696" s="6" t="s">
        <v>1199</v>
      </c>
      <c r="F696" s="6" t="s">
        <v>1978</v>
      </c>
      <c r="G696" s="6" t="s">
        <v>627</v>
      </c>
      <c r="H696" s="6" t="str">
        <f aca="false">IF(D696&lt;=35,"Yes","No")</f>
        <v>Yes</v>
      </c>
      <c r="I696" s="6"/>
    </row>
    <row r="697" customFormat="false" ht="15" hidden="false" customHeight="false" outlineLevel="0" collapsed="false">
      <c r="A697" s="6" t="s">
        <v>1516</v>
      </c>
      <c r="B697" s="6" t="s">
        <v>198</v>
      </c>
      <c r="C697" s="6" t="n">
        <v>70</v>
      </c>
      <c r="D697" s="6" t="n">
        <v>15</v>
      </c>
      <c r="E697" s="6" t="s">
        <v>796</v>
      </c>
      <c r="F697" s="6" t="s">
        <v>2116</v>
      </c>
      <c r="G697" s="6" t="s">
        <v>648</v>
      </c>
      <c r="H697" s="6" t="str">
        <f aca="false">IF(D697&lt;=35,"Yes","No")</f>
        <v>Yes</v>
      </c>
      <c r="I697" s="6"/>
    </row>
    <row r="698" customFormat="false" ht="15" hidden="false" customHeight="false" outlineLevel="0" collapsed="false">
      <c r="A698" s="6" t="s">
        <v>1322</v>
      </c>
      <c r="B698" s="6" t="s">
        <v>198</v>
      </c>
      <c r="C698" s="6" t="n">
        <v>70</v>
      </c>
      <c r="D698" s="6" t="n">
        <v>6</v>
      </c>
      <c r="E698" s="6" t="s">
        <v>642</v>
      </c>
      <c r="F698" s="6" t="s">
        <v>2119</v>
      </c>
      <c r="G698" s="6" t="s">
        <v>627</v>
      </c>
      <c r="H698" s="6" t="str">
        <f aca="false">IF(D698&lt;=35,"Yes","No")</f>
        <v>Yes</v>
      </c>
      <c r="I698" s="6"/>
    </row>
    <row r="699" customFormat="false" ht="15" hidden="false" customHeight="false" outlineLevel="0" collapsed="false">
      <c r="A699" s="6" t="s">
        <v>2181</v>
      </c>
      <c r="B699" s="6" t="s">
        <v>1853</v>
      </c>
      <c r="C699" s="6" t="n">
        <v>60</v>
      </c>
      <c r="D699" s="6" t="n">
        <v>11</v>
      </c>
      <c r="E699" s="6" t="s">
        <v>850</v>
      </c>
      <c r="F699" s="6" t="s">
        <v>1865</v>
      </c>
      <c r="G699" s="6" t="s">
        <v>648</v>
      </c>
      <c r="H699" s="6" t="str">
        <f aca="false">IF(D699&lt;=35,"Yes","No")</f>
        <v>Yes</v>
      </c>
      <c r="I699" s="6"/>
    </row>
    <row r="700" customFormat="false" ht="15" hidden="false" customHeight="false" outlineLevel="0" collapsed="false">
      <c r="A700" s="6" t="s">
        <v>2182</v>
      </c>
      <c r="B700" s="6" t="s">
        <v>198</v>
      </c>
      <c r="C700" s="6" t="n">
        <v>60</v>
      </c>
      <c r="D700" s="6" t="n">
        <v>19</v>
      </c>
      <c r="E700" s="6" t="s">
        <v>649</v>
      </c>
      <c r="F700" s="6" t="s">
        <v>1878</v>
      </c>
      <c r="G700" s="6" t="s">
        <v>648</v>
      </c>
      <c r="H700" s="6" t="str">
        <f aca="false">IF(D700&lt;=35,"Yes","No")</f>
        <v>Yes</v>
      </c>
      <c r="I700" s="6"/>
    </row>
    <row r="701" customFormat="false" ht="15" hidden="false" customHeight="false" outlineLevel="0" collapsed="false">
      <c r="A701" s="6" t="s">
        <v>2183</v>
      </c>
      <c r="B701" s="6" t="s">
        <v>1853</v>
      </c>
      <c r="C701" s="6" t="n">
        <v>50</v>
      </c>
      <c r="D701" s="6" t="n">
        <v>5</v>
      </c>
      <c r="E701" s="6" t="s">
        <v>1308</v>
      </c>
      <c r="F701" s="6" t="s">
        <v>1882</v>
      </c>
      <c r="G701" s="6" t="s">
        <v>648</v>
      </c>
      <c r="H701" s="6" t="str">
        <f aca="false">IF(D701&lt;=35,"Yes","No")</f>
        <v>Yes</v>
      </c>
      <c r="I701" s="6"/>
    </row>
    <row r="702" customFormat="false" ht="15" hidden="false" customHeight="false" outlineLevel="0" collapsed="false">
      <c r="A702" s="6" t="s">
        <v>1819</v>
      </c>
      <c r="B702" s="6" t="s">
        <v>1853</v>
      </c>
      <c r="C702" s="6" t="n">
        <v>50</v>
      </c>
      <c r="D702" s="6" t="n">
        <v>9</v>
      </c>
      <c r="E702" s="6" t="s">
        <v>1308</v>
      </c>
      <c r="F702" s="6" t="s">
        <v>1938</v>
      </c>
      <c r="G702" s="6" t="s">
        <v>648</v>
      </c>
      <c r="H702" s="6" t="str">
        <f aca="false">IF(D702&lt;=35,"Yes","No")</f>
        <v>Yes</v>
      </c>
      <c r="I702" s="6"/>
    </row>
    <row r="703" customFormat="false" ht="15" hidden="false" customHeight="false" outlineLevel="0" collapsed="false">
      <c r="A703" s="6" t="s">
        <v>2184</v>
      </c>
      <c r="B703" s="6" t="s">
        <v>1853</v>
      </c>
      <c r="C703" s="6" t="n">
        <v>50</v>
      </c>
      <c r="D703" s="6" t="n">
        <v>6</v>
      </c>
      <c r="E703" s="6" t="s">
        <v>649</v>
      </c>
      <c r="F703" s="6" t="s">
        <v>1933</v>
      </c>
      <c r="G703" s="6" t="s">
        <v>648</v>
      </c>
      <c r="H703" s="6" t="str">
        <f aca="false">IF(D703&lt;=35,"Yes","No")</f>
        <v>Yes</v>
      </c>
      <c r="I703" s="6"/>
    </row>
    <row r="704" customFormat="false" ht="15" hidden="false" customHeight="false" outlineLevel="0" collapsed="false">
      <c r="A704" s="6" t="s">
        <v>1778</v>
      </c>
      <c r="B704" s="6" t="s">
        <v>1853</v>
      </c>
      <c r="C704" s="6" t="n">
        <v>50</v>
      </c>
      <c r="D704" s="6" t="n">
        <v>10</v>
      </c>
      <c r="E704" s="6" t="s">
        <v>850</v>
      </c>
      <c r="F704" s="6" t="s">
        <v>1920</v>
      </c>
      <c r="G704" s="6" t="s">
        <v>648</v>
      </c>
      <c r="H704" s="6" t="str">
        <f aca="false">IF(D704&lt;=35,"Yes","No")</f>
        <v>Yes</v>
      </c>
      <c r="I704" s="6"/>
    </row>
    <row r="705" customFormat="false" ht="15" hidden="false" customHeight="false" outlineLevel="0" collapsed="false">
      <c r="A705" s="6" t="s">
        <v>2185</v>
      </c>
      <c r="B705" s="6" t="s">
        <v>1853</v>
      </c>
      <c r="C705" s="6" t="n">
        <v>50</v>
      </c>
      <c r="D705" s="6" t="n">
        <v>6</v>
      </c>
      <c r="E705" s="6" t="s">
        <v>850</v>
      </c>
      <c r="F705" s="6" t="s">
        <v>1897</v>
      </c>
      <c r="G705" s="6" t="s">
        <v>648</v>
      </c>
      <c r="H705" s="6" t="str">
        <f aca="false">IF(D705&lt;=35,"Yes","No")</f>
        <v>Yes</v>
      </c>
      <c r="I705" s="6"/>
    </row>
    <row r="706" customFormat="false" ht="15" hidden="false" customHeight="false" outlineLevel="0" collapsed="false">
      <c r="A706" s="6" t="s">
        <v>1656</v>
      </c>
      <c r="B706" s="6" t="s">
        <v>198</v>
      </c>
      <c r="C706" s="6" t="n">
        <v>50</v>
      </c>
      <c r="D706" s="6" t="n">
        <v>9</v>
      </c>
      <c r="E706" s="6" t="s">
        <v>1308</v>
      </c>
      <c r="F706" s="6" t="s">
        <v>1876</v>
      </c>
      <c r="G706" s="6" t="s">
        <v>648</v>
      </c>
      <c r="H706" s="6" t="str">
        <f aca="false">IF(D706&lt;=35,"Yes","No")</f>
        <v>Yes</v>
      </c>
      <c r="I706" s="6"/>
    </row>
    <row r="707" customFormat="false" ht="15" hidden="false" customHeight="false" outlineLevel="0" collapsed="false">
      <c r="A707" s="6" t="s">
        <v>1819</v>
      </c>
      <c r="B707" s="6" t="s">
        <v>198</v>
      </c>
      <c r="C707" s="6" t="n">
        <v>50</v>
      </c>
      <c r="D707" s="6" t="n">
        <v>16</v>
      </c>
      <c r="E707" s="6" t="s">
        <v>1308</v>
      </c>
      <c r="F707" s="6" t="s">
        <v>1938</v>
      </c>
      <c r="G707" s="6" t="s">
        <v>648</v>
      </c>
      <c r="H707" s="6" t="str">
        <f aca="false">IF(D707&lt;=35,"Yes","No")</f>
        <v>Yes</v>
      </c>
      <c r="I707" s="6"/>
    </row>
    <row r="708" customFormat="false" ht="15" hidden="false" customHeight="false" outlineLevel="0" collapsed="false">
      <c r="A708" s="6" t="s">
        <v>2186</v>
      </c>
      <c r="B708" s="6" t="s">
        <v>198</v>
      </c>
      <c r="C708" s="6" t="n">
        <v>50</v>
      </c>
      <c r="D708" s="6" t="n">
        <v>6</v>
      </c>
      <c r="E708" s="6" t="s">
        <v>1308</v>
      </c>
      <c r="F708" s="6" t="s">
        <v>1901</v>
      </c>
      <c r="G708" s="6" t="s">
        <v>648</v>
      </c>
      <c r="H708" s="6" t="str">
        <f aca="false">IF(D708&lt;=35,"Yes","No")</f>
        <v>Yes</v>
      </c>
      <c r="I708" s="6"/>
    </row>
    <row r="709" customFormat="false" ht="15" hidden="false" customHeight="false" outlineLevel="0" collapsed="false">
      <c r="A709" s="6" t="s">
        <v>2187</v>
      </c>
      <c r="B709" s="6" t="s">
        <v>198</v>
      </c>
      <c r="C709" s="6" t="n">
        <v>50</v>
      </c>
      <c r="D709" s="6" t="n">
        <v>0</v>
      </c>
      <c r="E709" s="6" t="s">
        <v>784</v>
      </c>
      <c r="F709" s="6" t="s">
        <v>1863</v>
      </c>
      <c r="G709" s="6" t="s">
        <v>648</v>
      </c>
      <c r="H709" s="6" t="str">
        <f aca="false">IF(D709&lt;=35,"Yes","No")</f>
        <v>Yes</v>
      </c>
      <c r="I709" s="6"/>
    </row>
    <row r="710" customFormat="false" ht="15" hidden="false" customHeight="false" outlineLevel="0" collapsed="false">
      <c r="A710" s="6" t="s">
        <v>1024</v>
      </c>
      <c r="B710" s="6" t="s">
        <v>198</v>
      </c>
      <c r="C710" s="6" t="n">
        <v>50</v>
      </c>
      <c r="D710" s="6" t="n">
        <v>11</v>
      </c>
      <c r="E710" s="6" t="s">
        <v>649</v>
      </c>
      <c r="F710" s="6" t="s">
        <v>1881</v>
      </c>
      <c r="G710" s="6" t="s">
        <v>648</v>
      </c>
      <c r="H710" s="6" t="str">
        <f aca="false">IF(D710&lt;=35,"Yes","No")</f>
        <v>Yes</v>
      </c>
      <c r="I710" s="6"/>
    </row>
    <row r="711" customFormat="false" ht="15" hidden="false" customHeight="false" outlineLevel="0" collapsed="false">
      <c r="A711" s="6" t="s">
        <v>2107</v>
      </c>
      <c r="B711" s="6" t="s">
        <v>198</v>
      </c>
      <c r="C711" s="6" t="n">
        <v>50</v>
      </c>
      <c r="D711" s="6" t="n">
        <v>6</v>
      </c>
      <c r="E711" s="6" t="s">
        <v>649</v>
      </c>
      <c r="F711" s="6" t="s">
        <v>1882</v>
      </c>
      <c r="G711" s="6" t="s">
        <v>648</v>
      </c>
      <c r="H711" s="6" t="str">
        <f aca="false">IF(D711&lt;=35,"Yes","No")</f>
        <v>Yes</v>
      </c>
      <c r="I711" s="6"/>
    </row>
    <row r="712" customFormat="false" ht="15" hidden="false" customHeight="false" outlineLevel="0" collapsed="false">
      <c r="A712" s="6" t="s">
        <v>2145</v>
      </c>
      <c r="B712" s="6" t="s">
        <v>198</v>
      </c>
      <c r="C712" s="6" t="n">
        <v>50</v>
      </c>
      <c r="D712" s="6" t="n">
        <v>20</v>
      </c>
      <c r="E712" s="6" t="s">
        <v>649</v>
      </c>
      <c r="F712" s="6" t="s">
        <v>1860</v>
      </c>
      <c r="G712" s="6" t="s">
        <v>648</v>
      </c>
      <c r="H712" s="6" t="str">
        <f aca="false">IF(D712&lt;=35,"Yes","No")</f>
        <v>Yes</v>
      </c>
      <c r="I712" s="6"/>
    </row>
    <row r="713" customFormat="false" ht="15" hidden="false" customHeight="false" outlineLevel="0" collapsed="false">
      <c r="A713" s="6" t="s">
        <v>1969</v>
      </c>
      <c r="B713" s="6" t="s">
        <v>198</v>
      </c>
      <c r="C713" s="6" t="n">
        <v>50</v>
      </c>
      <c r="D713" s="6" t="n">
        <v>19</v>
      </c>
      <c r="E713" s="6" t="s">
        <v>649</v>
      </c>
      <c r="F713" s="6" t="s">
        <v>1865</v>
      </c>
      <c r="G713" s="6" t="s">
        <v>648</v>
      </c>
      <c r="H713" s="6" t="str">
        <f aca="false">IF(D713&lt;=35,"Yes","No")</f>
        <v>Yes</v>
      </c>
      <c r="I713" s="6"/>
    </row>
    <row r="714" customFormat="false" ht="15" hidden="false" customHeight="false" outlineLevel="0" collapsed="false">
      <c r="A714" s="6" t="s">
        <v>1133</v>
      </c>
      <c r="B714" s="6" t="s">
        <v>198</v>
      </c>
      <c r="C714" s="6" t="n">
        <v>50</v>
      </c>
      <c r="D714" s="6" t="n">
        <v>19</v>
      </c>
      <c r="E714" s="6" t="s">
        <v>649</v>
      </c>
      <c r="F714" s="6" t="s">
        <v>1860</v>
      </c>
      <c r="G714" s="6" t="s">
        <v>648</v>
      </c>
      <c r="H714" s="6" t="str">
        <f aca="false">IF(D714&lt;=35,"Yes","No")</f>
        <v>Yes</v>
      </c>
      <c r="I714" s="6"/>
    </row>
    <row r="715" customFormat="false" ht="15" hidden="false" customHeight="false" outlineLevel="0" collapsed="false">
      <c r="A715" s="6" t="s">
        <v>751</v>
      </c>
      <c r="B715" s="6" t="s">
        <v>198</v>
      </c>
      <c r="C715" s="6" t="n">
        <v>50</v>
      </c>
      <c r="D715" s="6" t="n">
        <v>11</v>
      </c>
      <c r="E715" s="6" t="s">
        <v>649</v>
      </c>
      <c r="F715" s="6" t="s">
        <v>1861</v>
      </c>
      <c r="G715" s="6" t="s">
        <v>648</v>
      </c>
      <c r="H715" s="6" t="str">
        <f aca="false">IF(D715&lt;=35,"Yes","No")</f>
        <v>Yes</v>
      </c>
      <c r="I715" s="6"/>
    </row>
    <row r="716" customFormat="false" ht="15" hidden="false" customHeight="false" outlineLevel="0" collapsed="false">
      <c r="A716" s="6" t="s">
        <v>2127</v>
      </c>
      <c r="B716" s="6" t="s">
        <v>198</v>
      </c>
      <c r="C716" s="6" t="n">
        <v>50</v>
      </c>
      <c r="D716" s="6" t="n">
        <v>4</v>
      </c>
      <c r="E716" s="6" t="s">
        <v>649</v>
      </c>
      <c r="F716" s="6" t="s">
        <v>1933</v>
      </c>
      <c r="G716" s="6" t="s">
        <v>648</v>
      </c>
      <c r="H716" s="6" t="str">
        <f aca="false">IF(D716&lt;=35,"Yes","No")</f>
        <v>Yes</v>
      </c>
      <c r="I716" s="6"/>
    </row>
    <row r="717" customFormat="false" ht="15" hidden="false" customHeight="false" outlineLevel="0" collapsed="false">
      <c r="A717" s="6" t="s">
        <v>2106</v>
      </c>
      <c r="B717" s="6" t="s">
        <v>198</v>
      </c>
      <c r="C717" s="6" t="n">
        <v>50</v>
      </c>
      <c r="D717" s="6" t="n">
        <v>13</v>
      </c>
      <c r="E717" s="6" t="s">
        <v>649</v>
      </c>
      <c r="F717" s="6" t="s">
        <v>1865</v>
      </c>
      <c r="G717" s="6" t="s">
        <v>648</v>
      </c>
      <c r="H717" s="6" t="str">
        <f aca="false">IF(D717&lt;=35,"Yes","No")</f>
        <v>Yes</v>
      </c>
      <c r="I717" s="6"/>
    </row>
    <row r="718" customFormat="false" ht="15" hidden="false" customHeight="false" outlineLevel="0" collapsed="false">
      <c r="A718" s="6" t="s">
        <v>734</v>
      </c>
      <c r="B718" s="6" t="s">
        <v>198</v>
      </c>
      <c r="C718" s="6" t="n">
        <v>50</v>
      </c>
      <c r="D718" s="6" t="n">
        <v>6</v>
      </c>
      <c r="E718" s="6" t="s">
        <v>700</v>
      </c>
      <c r="F718" s="6" t="s">
        <v>1920</v>
      </c>
      <c r="G718" s="6" t="s">
        <v>648</v>
      </c>
      <c r="H718" s="6" t="str">
        <f aca="false">IF(D718&lt;=35,"Yes","No")</f>
        <v>Yes</v>
      </c>
      <c r="I718" s="6"/>
    </row>
    <row r="719" customFormat="false" ht="15" hidden="false" customHeight="false" outlineLevel="0" collapsed="false">
      <c r="A719" s="6" t="s">
        <v>1202</v>
      </c>
      <c r="B719" s="6" t="s">
        <v>198</v>
      </c>
      <c r="C719" s="6" t="n">
        <v>50</v>
      </c>
      <c r="D719" s="6" t="n">
        <v>5</v>
      </c>
      <c r="E719" s="6" t="s">
        <v>692</v>
      </c>
      <c r="F719" s="6" t="s">
        <v>1988</v>
      </c>
      <c r="G719" s="6" t="s">
        <v>648</v>
      </c>
      <c r="H719" s="6" t="str">
        <f aca="false">IF(D719&lt;=35,"Yes","No")</f>
        <v>Yes</v>
      </c>
      <c r="I719" s="6"/>
    </row>
    <row r="720" customFormat="false" ht="15" hidden="false" customHeight="false" outlineLevel="0" collapsed="false">
      <c r="A720" s="6" t="s">
        <v>1658</v>
      </c>
      <c r="B720" s="6" t="s">
        <v>198</v>
      </c>
      <c r="C720" s="6" t="n">
        <v>50</v>
      </c>
      <c r="D720" s="6" t="n">
        <v>7</v>
      </c>
      <c r="E720" s="6" t="s">
        <v>692</v>
      </c>
      <c r="F720" s="6" t="s">
        <v>1994</v>
      </c>
      <c r="G720" s="6" t="s">
        <v>648</v>
      </c>
      <c r="H720" s="6" t="str">
        <f aca="false">IF(D720&lt;=35,"Yes","No")</f>
        <v>Yes</v>
      </c>
      <c r="I720" s="6"/>
    </row>
    <row r="721" customFormat="false" ht="15" hidden="false" customHeight="false" outlineLevel="0" collapsed="false">
      <c r="A721" s="6" t="s">
        <v>1778</v>
      </c>
      <c r="B721" s="6" t="s">
        <v>198</v>
      </c>
      <c r="C721" s="6" t="n">
        <v>50</v>
      </c>
      <c r="D721" s="6" t="n">
        <v>8</v>
      </c>
      <c r="E721" s="6" t="s">
        <v>850</v>
      </c>
      <c r="F721" s="6" t="s">
        <v>1920</v>
      </c>
      <c r="G721" s="6" t="s">
        <v>648</v>
      </c>
      <c r="H721" s="6" t="str">
        <f aca="false">IF(D721&lt;=35,"Yes","No")</f>
        <v>Yes</v>
      </c>
      <c r="I721" s="6"/>
    </row>
    <row r="722" customFormat="false" ht="15" hidden="false" customHeight="false" outlineLevel="0" collapsed="false">
      <c r="A722" s="6" t="s">
        <v>1182</v>
      </c>
      <c r="B722" s="6" t="s">
        <v>198</v>
      </c>
      <c r="C722" s="6" t="n">
        <v>50</v>
      </c>
      <c r="D722" s="6" t="n">
        <v>20</v>
      </c>
      <c r="E722" s="6" t="s">
        <v>850</v>
      </c>
      <c r="F722" s="6" t="s">
        <v>1861</v>
      </c>
      <c r="G722" s="6" t="s">
        <v>648</v>
      </c>
      <c r="H722" s="6" t="str">
        <f aca="false">IF(D722&lt;=35,"Yes","No")</f>
        <v>Yes</v>
      </c>
      <c r="I722" s="6"/>
    </row>
    <row r="723" customFormat="false" ht="15" hidden="false" customHeight="false" outlineLevel="0" collapsed="false">
      <c r="A723" s="6" t="s">
        <v>2188</v>
      </c>
      <c r="B723" s="6" t="s">
        <v>198</v>
      </c>
      <c r="C723" s="6" t="n">
        <v>50</v>
      </c>
      <c r="D723" s="6" t="n">
        <v>9</v>
      </c>
      <c r="E723" s="6" t="s">
        <v>850</v>
      </c>
      <c r="F723" s="6" t="s">
        <v>1946</v>
      </c>
      <c r="G723" s="6" t="s">
        <v>648</v>
      </c>
      <c r="H723" s="6" t="str">
        <f aca="false">IF(D723&lt;=35,"Yes","No")</f>
        <v>Yes</v>
      </c>
      <c r="I723" s="6"/>
    </row>
    <row r="724" customFormat="false" ht="15" hidden="false" customHeight="false" outlineLevel="0" collapsed="false">
      <c r="A724" s="6" t="s">
        <v>2189</v>
      </c>
      <c r="B724" s="6" t="s">
        <v>198</v>
      </c>
      <c r="C724" s="6" t="n">
        <v>50</v>
      </c>
      <c r="D724" s="6" t="n">
        <v>12</v>
      </c>
      <c r="E724" s="6" t="s">
        <v>700</v>
      </c>
      <c r="F724" s="6" t="s">
        <v>1933</v>
      </c>
      <c r="G724" s="6" t="s">
        <v>648</v>
      </c>
      <c r="H724" s="6" t="str">
        <f aca="false">IF(D724&lt;=35,"Yes","No")</f>
        <v>Yes</v>
      </c>
      <c r="I724" s="6"/>
    </row>
    <row r="725" customFormat="false" ht="15" hidden="false" customHeight="false" outlineLevel="0" collapsed="false">
      <c r="A725" s="6" t="s">
        <v>2190</v>
      </c>
      <c r="B725" s="6" t="s">
        <v>1853</v>
      </c>
      <c r="C725" s="6" t="n">
        <v>50</v>
      </c>
      <c r="D725" s="6" t="n">
        <v>7</v>
      </c>
      <c r="E725" s="6" t="s">
        <v>881</v>
      </c>
      <c r="F725" s="6" t="s">
        <v>1909</v>
      </c>
      <c r="G725" s="6" t="s">
        <v>627</v>
      </c>
      <c r="H725" s="6" t="str">
        <f aca="false">IF(D725&lt;=35,"Yes","No")</f>
        <v>Yes</v>
      </c>
      <c r="I725" s="6"/>
    </row>
    <row r="726" customFormat="false" ht="15" hidden="false" customHeight="false" outlineLevel="0" collapsed="false">
      <c r="A726" s="6" t="s">
        <v>2191</v>
      </c>
      <c r="B726" s="6" t="s">
        <v>1853</v>
      </c>
      <c r="C726" s="6" t="n">
        <v>50</v>
      </c>
      <c r="D726" s="6" t="n">
        <v>9</v>
      </c>
      <c r="E726" s="6" t="s">
        <v>881</v>
      </c>
      <c r="F726" s="6" t="s">
        <v>2038</v>
      </c>
      <c r="G726" s="6" t="s">
        <v>627</v>
      </c>
      <c r="H726" s="6" t="str">
        <f aca="false">IF(D726&lt;=35,"Yes","No")</f>
        <v>Yes</v>
      </c>
      <c r="I726" s="6"/>
    </row>
    <row r="727" customFormat="false" ht="15" hidden="false" customHeight="false" outlineLevel="0" collapsed="false">
      <c r="A727" s="6" t="s">
        <v>2192</v>
      </c>
      <c r="B727" s="6" t="s">
        <v>1853</v>
      </c>
      <c r="C727" s="6" t="n">
        <v>50</v>
      </c>
      <c r="D727" s="6" t="n">
        <v>5</v>
      </c>
      <c r="E727" s="6" t="s">
        <v>642</v>
      </c>
      <c r="F727" s="6" t="s">
        <v>1909</v>
      </c>
      <c r="G727" s="6" t="s">
        <v>627</v>
      </c>
      <c r="H727" s="6" t="str">
        <f aca="false">IF(D727&lt;=35,"Yes","No")</f>
        <v>Yes</v>
      </c>
      <c r="I727" s="6"/>
    </row>
    <row r="728" customFormat="false" ht="15" hidden="false" customHeight="false" outlineLevel="0" collapsed="false">
      <c r="A728" s="6" t="s">
        <v>1780</v>
      </c>
      <c r="B728" s="6" t="s">
        <v>1853</v>
      </c>
      <c r="C728" s="6" t="n">
        <v>50</v>
      </c>
      <c r="D728" s="6" t="n">
        <v>13</v>
      </c>
      <c r="E728" s="6" t="s">
        <v>738</v>
      </c>
      <c r="F728" s="6" t="s">
        <v>2193</v>
      </c>
      <c r="G728" s="6" t="s">
        <v>627</v>
      </c>
      <c r="H728" s="6" t="str">
        <f aca="false">IF(D728&lt;=35,"Yes","No")</f>
        <v>Yes</v>
      </c>
      <c r="I728" s="6"/>
    </row>
    <row r="729" customFormat="false" ht="15" hidden="false" customHeight="false" outlineLevel="0" collapsed="false">
      <c r="A729" s="6" t="s">
        <v>2194</v>
      </c>
      <c r="B729" s="6" t="s">
        <v>1853</v>
      </c>
      <c r="C729" s="6" t="n">
        <v>50</v>
      </c>
      <c r="D729" s="6" t="n">
        <v>12</v>
      </c>
      <c r="E729" s="6" t="s">
        <v>738</v>
      </c>
      <c r="F729" s="6" t="s">
        <v>2195</v>
      </c>
      <c r="G729" s="6" t="s">
        <v>627</v>
      </c>
      <c r="H729" s="6" t="str">
        <f aca="false">IF(D729&lt;=35,"Yes","No")</f>
        <v>Yes</v>
      </c>
      <c r="I729" s="6"/>
    </row>
    <row r="730" customFormat="false" ht="15" hidden="false" customHeight="false" outlineLevel="0" collapsed="false">
      <c r="A730" s="6" t="s">
        <v>1981</v>
      </c>
      <c r="B730" s="6" t="s">
        <v>198</v>
      </c>
      <c r="C730" s="6" t="n">
        <v>50</v>
      </c>
      <c r="D730" s="6" t="n">
        <v>25</v>
      </c>
      <c r="E730" s="6" t="s">
        <v>1622</v>
      </c>
      <c r="F730" s="6" t="s">
        <v>1982</v>
      </c>
      <c r="G730" s="6" t="s">
        <v>627</v>
      </c>
      <c r="H730" s="6" t="str">
        <f aca="false">IF(D730&lt;=35,"Yes","No")</f>
        <v>Yes</v>
      </c>
      <c r="I730" s="6"/>
    </row>
    <row r="731" customFormat="false" ht="15" hidden="false" customHeight="false" outlineLevel="0" collapsed="false">
      <c r="A731" s="6" t="s">
        <v>2196</v>
      </c>
      <c r="B731" s="6" t="s">
        <v>198</v>
      </c>
      <c r="C731" s="6" t="n">
        <v>50</v>
      </c>
      <c r="D731" s="6" t="n">
        <v>6</v>
      </c>
      <c r="E731" s="6" t="s">
        <v>642</v>
      </c>
      <c r="F731" s="6" t="s">
        <v>1929</v>
      </c>
      <c r="G731" s="6" t="s">
        <v>627</v>
      </c>
      <c r="H731" s="6" t="str">
        <f aca="false">IF(D731&lt;=35,"Yes","No")</f>
        <v>Yes</v>
      </c>
      <c r="I731" s="6"/>
    </row>
    <row r="732" customFormat="false" ht="15" hidden="false" customHeight="false" outlineLevel="0" collapsed="false">
      <c r="A732" s="6" t="s">
        <v>1780</v>
      </c>
      <c r="B732" s="6" t="s">
        <v>198</v>
      </c>
      <c r="C732" s="6" t="n">
        <v>50</v>
      </c>
      <c r="D732" s="6" t="n">
        <v>5</v>
      </c>
      <c r="E732" s="6" t="s">
        <v>738</v>
      </c>
      <c r="F732" s="6" t="s">
        <v>2193</v>
      </c>
      <c r="G732" s="6" t="s">
        <v>627</v>
      </c>
      <c r="H732" s="6" t="str">
        <f aca="false">IF(D732&lt;=35,"Yes","No")</f>
        <v>Yes</v>
      </c>
      <c r="I732" s="6"/>
    </row>
    <row r="733" customFormat="false" ht="15" hidden="false" customHeight="false" outlineLevel="0" collapsed="false">
      <c r="A733" s="6" t="s">
        <v>2197</v>
      </c>
      <c r="B733" s="6" t="s">
        <v>198</v>
      </c>
      <c r="C733" s="6" t="n">
        <v>50</v>
      </c>
      <c r="D733" s="6" t="n">
        <v>15</v>
      </c>
      <c r="E733" s="6" t="s">
        <v>738</v>
      </c>
      <c r="F733" s="6" t="s">
        <v>2198</v>
      </c>
      <c r="G733" s="6" t="s">
        <v>627</v>
      </c>
      <c r="H733" s="6" t="str">
        <f aca="false">IF(D733&lt;=35,"Yes","No")</f>
        <v>Yes</v>
      </c>
      <c r="I733" s="6"/>
    </row>
    <row r="734" customFormat="false" ht="15" hidden="false" customHeight="false" outlineLevel="0" collapsed="false">
      <c r="A734" s="6" t="s">
        <v>1129</v>
      </c>
      <c r="B734" s="6" t="s">
        <v>198</v>
      </c>
      <c r="C734" s="6" t="n">
        <v>50</v>
      </c>
      <c r="D734" s="6" t="n">
        <v>6</v>
      </c>
      <c r="E734" s="6" t="s">
        <v>2072</v>
      </c>
      <c r="F734" s="6" t="s">
        <v>1882</v>
      </c>
      <c r="G734" s="6" t="s">
        <v>648</v>
      </c>
      <c r="H734" s="6" t="str">
        <f aca="false">IF(D734&lt;=35,"Yes","No")</f>
        <v>Yes</v>
      </c>
      <c r="I734" s="6"/>
    </row>
    <row r="735" customFormat="false" ht="15" hidden="false" customHeight="false" outlineLevel="0" collapsed="false">
      <c r="A735" s="6" t="s">
        <v>2199</v>
      </c>
      <c r="B735" s="6" t="s">
        <v>1853</v>
      </c>
      <c r="C735" s="6" t="n">
        <v>50</v>
      </c>
      <c r="D735" s="6" t="n">
        <v>7</v>
      </c>
      <c r="E735" s="6" t="s">
        <v>796</v>
      </c>
      <c r="F735" s="6" t="s">
        <v>1982</v>
      </c>
      <c r="G735" s="6" t="s">
        <v>648</v>
      </c>
      <c r="H735" s="6" t="str">
        <f aca="false">IF(D735&lt;=35,"Yes","No")</f>
        <v>Yes</v>
      </c>
      <c r="I735" s="6"/>
    </row>
    <row r="736" customFormat="false" ht="15" hidden="false" customHeight="false" outlineLevel="0" collapsed="false">
      <c r="A736" s="6" t="s">
        <v>1506</v>
      </c>
      <c r="B736" s="6" t="s">
        <v>198</v>
      </c>
      <c r="C736" s="6" t="n">
        <v>50</v>
      </c>
      <c r="D736" s="6" t="n">
        <v>12</v>
      </c>
      <c r="E736" s="6" t="s">
        <v>796</v>
      </c>
      <c r="F736" s="6" t="s">
        <v>1988</v>
      </c>
      <c r="G736" s="6" t="s">
        <v>648</v>
      </c>
      <c r="H736" s="6" t="str">
        <f aca="false">IF(D736&lt;=35,"Yes","No")</f>
        <v>Yes</v>
      </c>
      <c r="I736" s="6"/>
    </row>
    <row r="737" customFormat="false" ht="15" hidden="false" customHeight="false" outlineLevel="0" collapsed="false">
      <c r="A737" s="6" t="s">
        <v>1468</v>
      </c>
      <c r="B737" s="6" t="s">
        <v>198</v>
      </c>
      <c r="C737" s="6" t="n">
        <v>50</v>
      </c>
      <c r="D737" s="6" t="n">
        <v>10</v>
      </c>
      <c r="E737" s="6" t="s">
        <v>796</v>
      </c>
      <c r="F737" s="6" t="s">
        <v>1940</v>
      </c>
      <c r="G737" s="6" t="s">
        <v>648</v>
      </c>
      <c r="H737" s="6" t="str">
        <f aca="false">IF(D737&lt;=35,"Yes","No")</f>
        <v>Yes</v>
      </c>
      <c r="I737" s="6"/>
    </row>
    <row r="738" customFormat="false" ht="15" hidden="false" customHeight="false" outlineLevel="0" collapsed="false">
      <c r="A738" s="6" t="s">
        <v>2200</v>
      </c>
      <c r="B738" s="6" t="s">
        <v>1853</v>
      </c>
      <c r="C738" s="6" t="n">
        <v>40</v>
      </c>
      <c r="D738" s="6" t="n">
        <v>8</v>
      </c>
      <c r="E738" s="6" t="s">
        <v>1308</v>
      </c>
      <c r="F738" s="6" t="s">
        <v>1860</v>
      </c>
      <c r="G738" s="6" t="s">
        <v>648</v>
      </c>
      <c r="H738" s="6" t="str">
        <f aca="false">IF(D738&lt;=35,"Yes","No")</f>
        <v>Yes</v>
      </c>
      <c r="I738" s="6"/>
    </row>
    <row r="739" customFormat="false" ht="15" hidden="false" customHeight="false" outlineLevel="0" collapsed="false">
      <c r="A739" s="6" t="s">
        <v>2201</v>
      </c>
      <c r="B739" s="6" t="s">
        <v>1853</v>
      </c>
      <c r="C739" s="6" t="n">
        <v>40</v>
      </c>
      <c r="D739" s="6" t="n">
        <v>7</v>
      </c>
      <c r="E739" s="6" t="s">
        <v>784</v>
      </c>
      <c r="F739" s="6" t="s">
        <v>1925</v>
      </c>
      <c r="G739" s="6" t="s">
        <v>648</v>
      </c>
      <c r="H739" s="6" t="str">
        <f aca="false">IF(D739&lt;=35,"Yes","No")</f>
        <v>Yes</v>
      </c>
      <c r="I739" s="6"/>
    </row>
    <row r="740" customFormat="false" ht="15" hidden="false" customHeight="false" outlineLevel="0" collapsed="false">
      <c r="A740" s="6" t="s">
        <v>1110</v>
      </c>
      <c r="B740" s="6" t="s">
        <v>1853</v>
      </c>
      <c r="C740" s="6" t="n">
        <v>40</v>
      </c>
      <c r="D740" s="6" t="n">
        <v>15</v>
      </c>
      <c r="E740" s="6" t="s">
        <v>784</v>
      </c>
      <c r="F740" s="6" t="s">
        <v>1918</v>
      </c>
      <c r="G740" s="6" t="s">
        <v>648</v>
      </c>
      <c r="H740" s="6" t="str">
        <f aca="false">IF(D740&lt;=35,"Yes","No")</f>
        <v>Yes</v>
      </c>
      <c r="I740" s="6"/>
    </row>
    <row r="741" customFormat="false" ht="15" hidden="false" customHeight="false" outlineLevel="0" collapsed="false">
      <c r="A741" s="6" t="s">
        <v>2202</v>
      </c>
      <c r="B741" s="6" t="s">
        <v>1853</v>
      </c>
      <c r="C741" s="6" t="n">
        <v>40</v>
      </c>
      <c r="D741" s="6" t="n">
        <v>12</v>
      </c>
      <c r="E741" s="6" t="s">
        <v>649</v>
      </c>
      <c r="F741" s="6" t="s">
        <v>1909</v>
      </c>
      <c r="G741" s="6" t="s">
        <v>648</v>
      </c>
      <c r="H741" s="6" t="str">
        <f aca="false">IF(D741&lt;=35,"Yes","No")</f>
        <v>Yes</v>
      </c>
      <c r="I741" s="6"/>
    </row>
    <row r="742" customFormat="false" ht="15" hidden="false" customHeight="false" outlineLevel="0" collapsed="false">
      <c r="A742" s="6" t="s">
        <v>2203</v>
      </c>
      <c r="B742" s="6" t="s">
        <v>1853</v>
      </c>
      <c r="C742" s="6" t="n">
        <v>40</v>
      </c>
      <c r="D742" s="6" t="n">
        <v>9</v>
      </c>
      <c r="E742" s="6" t="s">
        <v>649</v>
      </c>
      <c r="F742" s="6" t="s">
        <v>1938</v>
      </c>
      <c r="G742" s="6" t="s">
        <v>648</v>
      </c>
      <c r="H742" s="6" t="str">
        <f aca="false">IF(D742&lt;=35,"Yes","No")</f>
        <v>Yes</v>
      </c>
      <c r="I742" s="6"/>
    </row>
    <row r="743" customFormat="false" ht="15" hidden="false" customHeight="false" outlineLevel="0" collapsed="false">
      <c r="A743" s="6" t="s">
        <v>2204</v>
      </c>
      <c r="B743" s="6" t="s">
        <v>1853</v>
      </c>
      <c r="C743" s="6" t="n">
        <v>40</v>
      </c>
      <c r="D743" s="6" t="n">
        <v>11</v>
      </c>
      <c r="E743" s="6" t="s">
        <v>686</v>
      </c>
      <c r="F743" s="6" t="s">
        <v>1889</v>
      </c>
      <c r="G743" s="6" t="s">
        <v>648</v>
      </c>
      <c r="H743" s="6" t="str">
        <f aca="false">IF(D743&lt;=35,"Yes","No")</f>
        <v>Yes</v>
      </c>
      <c r="I743" s="6"/>
    </row>
    <row r="744" customFormat="false" ht="15" hidden="false" customHeight="false" outlineLevel="0" collapsed="false">
      <c r="A744" s="6" t="s">
        <v>2205</v>
      </c>
      <c r="B744" s="6" t="s">
        <v>1853</v>
      </c>
      <c r="C744" s="6" t="n">
        <v>40</v>
      </c>
      <c r="D744" s="6" t="n">
        <v>18</v>
      </c>
      <c r="E744" s="6" t="s">
        <v>649</v>
      </c>
      <c r="F744" s="6" t="s">
        <v>2066</v>
      </c>
      <c r="G744" s="6" t="s">
        <v>648</v>
      </c>
      <c r="H744" s="6" t="str">
        <f aca="false">IF(D744&lt;=35,"Yes","No")</f>
        <v>Yes</v>
      </c>
      <c r="I744" s="6"/>
    </row>
    <row r="745" customFormat="false" ht="15" hidden="false" customHeight="false" outlineLevel="0" collapsed="false">
      <c r="A745" s="6" t="s">
        <v>1795</v>
      </c>
      <c r="B745" s="6" t="s">
        <v>1853</v>
      </c>
      <c r="C745" s="6" t="n">
        <v>40</v>
      </c>
      <c r="D745" s="6" t="n">
        <v>14</v>
      </c>
      <c r="E745" s="6" t="s">
        <v>692</v>
      </c>
      <c r="F745" s="6" t="s">
        <v>1905</v>
      </c>
      <c r="G745" s="6" t="s">
        <v>648</v>
      </c>
      <c r="H745" s="6" t="str">
        <f aca="false">IF(D745&lt;=35,"Yes","No")</f>
        <v>Yes</v>
      </c>
      <c r="I745" s="6"/>
    </row>
    <row r="746" customFormat="false" ht="15" hidden="false" customHeight="false" outlineLevel="0" collapsed="false">
      <c r="A746" s="6" t="s">
        <v>2206</v>
      </c>
      <c r="B746" s="6" t="s">
        <v>1853</v>
      </c>
      <c r="C746" s="6" t="n">
        <v>40</v>
      </c>
      <c r="D746" s="6" t="n">
        <v>17</v>
      </c>
      <c r="E746" s="6" t="s">
        <v>850</v>
      </c>
      <c r="F746" s="6" t="s">
        <v>1872</v>
      </c>
      <c r="G746" s="6" t="s">
        <v>648</v>
      </c>
      <c r="H746" s="6" t="str">
        <f aca="false">IF(D746&lt;=35,"Yes","No")</f>
        <v>Yes</v>
      </c>
      <c r="I746" s="6"/>
    </row>
    <row r="747" customFormat="false" ht="15" hidden="false" customHeight="false" outlineLevel="0" collapsed="false">
      <c r="A747" s="6" t="s">
        <v>2207</v>
      </c>
      <c r="B747" s="6" t="s">
        <v>198</v>
      </c>
      <c r="C747" s="6" t="n">
        <v>40</v>
      </c>
      <c r="D747" s="6" t="n">
        <v>7</v>
      </c>
      <c r="E747" s="6" t="s">
        <v>1308</v>
      </c>
      <c r="F747" s="6" t="s">
        <v>1963</v>
      </c>
      <c r="G747" s="6" t="s">
        <v>648</v>
      </c>
      <c r="H747" s="6" t="str">
        <f aca="false">IF(D747&lt;=35,"Yes","No")</f>
        <v>Yes</v>
      </c>
      <c r="I747" s="6"/>
    </row>
    <row r="748" customFormat="false" ht="15" hidden="false" customHeight="false" outlineLevel="0" collapsed="false">
      <c r="A748" s="6" t="s">
        <v>2208</v>
      </c>
      <c r="B748" s="6" t="s">
        <v>198</v>
      </c>
      <c r="C748" s="6" t="n">
        <v>40</v>
      </c>
      <c r="D748" s="6" t="n">
        <v>15</v>
      </c>
      <c r="E748" s="6" t="s">
        <v>784</v>
      </c>
      <c r="F748" s="6" t="s">
        <v>1946</v>
      </c>
      <c r="G748" s="6" t="s">
        <v>648</v>
      </c>
      <c r="H748" s="6" t="str">
        <f aca="false">IF(D748&lt;=35,"Yes","No")</f>
        <v>Yes</v>
      </c>
      <c r="I748" s="6"/>
    </row>
    <row r="749" customFormat="false" ht="15" hidden="false" customHeight="false" outlineLevel="0" collapsed="false">
      <c r="A749" s="6" t="s">
        <v>2209</v>
      </c>
      <c r="B749" s="6" t="s">
        <v>198</v>
      </c>
      <c r="C749" s="6" t="n">
        <v>40</v>
      </c>
      <c r="D749" s="6" t="n">
        <v>7</v>
      </c>
      <c r="E749" s="6" t="s">
        <v>649</v>
      </c>
      <c r="F749" s="6" t="s">
        <v>1914</v>
      </c>
      <c r="G749" s="6" t="s">
        <v>648</v>
      </c>
      <c r="H749" s="6" t="str">
        <f aca="false">IF(D749&lt;=35,"Yes","No")</f>
        <v>Yes</v>
      </c>
      <c r="I749" s="6"/>
    </row>
    <row r="750" customFormat="false" ht="15" hidden="false" customHeight="false" outlineLevel="0" collapsed="false">
      <c r="A750" s="6" t="s">
        <v>1959</v>
      </c>
      <c r="B750" s="6" t="s">
        <v>198</v>
      </c>
      <c r="C750" s="6" t="n">
        <v>40</v>
      </c>
      <c r="D750" s="6" t="n">
        <v>7</v>
      </c>
      <c r="E750" s="6" t="s">
        <v>649</v>
      </c>
      <c r="F750" s="6" t="s">
        <v>1887</v>
      </c>
      <c r="G750" s="6" t="s">
        <v>648</v>
      </c>
      <c r="H750" s="6" t="str">
        <f aca="false">IF(D750&lt;=35,"Yes","No")</f>
        <v>Yes</v>
      </c>
      <c r="I750" s="6"/>
    </row>
    <row r="751" customFormat="false" ht="15" hidden="false" customHeight="false" outlineLevel="0" collapsed="false">
      <c r="A751" s="6" t="s">
        <v>1980</v>
      </c>
      <c r="B751" s="6" t="s">
        <v>198</v>
      </c>
      <c r="C751" s="6" t="n">
        <v>40</v>
      </c>
      <c r="D751" s="6" t="n">
        <v>0</v>
      </c>
      <c r="E751" s="6" t="s">
        <v>649</v>
      </c>
      <c r="F751" s="6" t="s">
        <v>1911</v>
      </c>
      <c r="G751" s="6" t="s">
        <v>648</v>
      </c>
      <c r="H751" s="6" t="str">
        <f aca="false">IF(D751&lt;=35,"Yes","No")</f>
        <v>Yes</v>
      </c>
      <c r="I751" s="6"/>
    </row>
    <row r="752" customFormat="false" ht="15" hidden="false" customHeight="false" outlineLevel="0" collapsed="false">
      <c r="A752" s="6" t="s">
        <v>2158</v>
      </c>
      <c r="B752" s="6" t="s">
        <v>198</v>
      </c>
      <c r="C752" s="6" t="n">
        <v>40</v>
      </c>
      <c r="D752" s="6" t="n">
        <v>11</v>
      </c>
      <c r="E752" s="6" t="s">
        <v>649</v>
      </c>
      <c r="F752" s="6" t="s">
        <v>2066</v>
      </c>
      <c r="G752" s="6" t="s">
        <v>648</v>
      </c>
      <c r="H752" s="6" t="str">
        <f aca="false">IF(D752&lt;=35,"Yes","No")</f>
        <v>Yes</v>
      </c>
      <c r="I752" s="6"/>
    </row>
    <row r="753" customFormat="false" ht="15" hidden="false" customHeight="false" outlineLevel="0" collapsed="false">
      <c r="A753" s="6" t="s">
        <v>1667</v>
      </c>
      <c r="B753" s="6" t="s">
        <v>198</v>
      </c>
      <c r="C753" s="6" t="n">
        <v>40</v>
      </c>
      <c r="D753" s="6" t="n">
        <v>29</v>
      </c>
      <c r="E753" s="6" t="s">
        <v>649</v>
      </c>
      <c r="F753" s="6" t="s">
        <v>1891</v>
      </c>
      <c r="G753" s="6" t="s">
        <v>648</v>
      </c>
      <c r="H753" s="6" t="str">
        <f aca="false">IF(D753&lt;=35,"Yes","No")</f>
        <v>Yes</v>
      </c>
      <c r="I753" s="6"/>
    </row>
    <row r="754" customFormat="false" ht="15" hidden="false" customHeight="false" outlineLevel="0" collapsed="false">
      <c r="A754" s="6" t="s">
        <v>1356</v>
      </c>
      <c r="B754" s="6" t="s">
        <v>198</v>
      </c>
      <c r="C754" s="6" t="n">
        <v>40</v>
      </c>
      <c r="D754" s="6" t="n">
        <v>5</v>
      </c>
      <c r="E754" s="6" t="s">
        <v>700</v>
      </c>
      <c r="F754" s="6" t="s">
        <v>1963</v>
      </c>
      <c r="G754" s="6" t="s">
        <v>648</v>
      </c>
      <c r="H754" s="6" t="str">
        <f aca="false">IF(D754&lt;=35,"Yes","No")</f>
        <v>Yes</v>
      </c>
      <c r="I754" s="6"/>
    </row>
    <row r="755" customFormat="false" ht="15" hidden="false" customHeight="false" outlineLevel="0" collapsed="false">
      <c r="A755" s="6" t="s">
        <v>811</v>
      </c>
      <c r="B755" s="6" t="s">
        <v>198</v>
      </c>
      <c r="C755" s="6" t="n">
        <v>40</v>
      </c>
      <c r="D755" s="6" t="n">
        <v>5</v>
      </c>
      <c r="E755" s="6" t="s">
        <v>700</v>
      </c>
      <c r="F755" s="6" t="s">
        <v>1931</v>
      </c>
      <c r="G755" s="6" t="s">
        <v>648</v>
      </c>
      <c r="H755" s="6" t="str">
        <f aca="false">IF(D755&lt;=35,"Yes","No")</f>
        <v>Yes</v>
      </c>
      <c r="I755" s="6"/>
    </row>
    <row r="756" customFormat="false" ht="15" hidden="false" customHeight="false" outlineLevel="0" collapsed="false">
      <c r="A756" s="6" t="s">
        <v>1630</v>
      </c>
      <c r="B756" s="6" t="s">
        <v>198</v>
      </c>
      <c r="C756" s="6" t="n">
        <v>40</v>
      </c>
      <c r="D756" s="6" t="n">
        <v>13</v>
      </c>
      <c r="E756" s="6" t="s">
        <v>850</v>
      </c>
      <c r="F756" s="6" t="s">
        <v>1866</v>
      </c>
      <c r="G756" s="6" t="s">
        <v>648</v>
      </c>
      <c r="H756" s="6" t="str">
        <f aca="false">IF(D756&lt;=35,"Yes","No")</f>
        <v>Yes</v>
      </c>
      <c r="I756" s="6"/>
    </row>
    <row r="757" customFormat="false" ht="15" hidden="false" customHeight="false" outlineLevel="0" collapsed="false">
      <c r="A757" s="6" t="s">
        <v>1476</v>
      </c>
      <c r="B757" s="6" t="s">
        <v>198</v>
      </c>
      <c r="C757" s="6" t="n">
        <v>40</v>
      </c>
      <c r="D757" s="6" t="n">
        <v>13</v>
      </c>
      <c r="E757" s="6" t="s">
        <v>850</v>
      </c>
      <c r="F757" s="6" t="s">
        <v>1863</v>
      </c>
      <c r="G757" s="6" t="s">
        <v>648</v>
      </c>
      <c r="H757" s="6" t="str">
        <f aca="false">IF(D757&lt;=35,"Yes","No")</f>
        <v>Yes</v>
      </c>
      <c r="I757" s="6"/>
    </row>
    <row r="758" customFormat="false" ht="15" hidden="false" customHeight="false" outlineLevel="0" collapsed="false">
      <c r="A758" s="6" t="s">
        <v>1104</v>
      </c>
      <c r="B758" s="6" t="s">
        <v>198</v>
      </c>
      <c r="C758" s="6" t="n">
        <v>40</v>
      </c>
      <c r="D758" s="6" t="n">
        <v>14</v>
      </c>
      <c r="E758" s="6" t="s">
        <v>850</v>
      </c>
      <c r="F758" s="6" t="s">
        <v>1891</v>
      </c>
      <c r="G758" s="6" t="s">
        <v>648</v>
      </c>
      <c r="H758" s="6" t="str">
        <f aca="false">IF(D758&lt;=35,"Yes","No")</f>
        <v>Yes</v>
      </c>
      <c r="I758" s="6"/>
    </row>
    <row r="759" customFormat="false" ht="15" hidden="false" customHeight="false" outlineLevel="0" collapsed="false">
      <c r="A759" s="6" t="s">
        <v>929</v>
      </c>
      <c r="B759" s="6" t="s">
        <v>198</v>
      </c>
      <c r="C759" s="6" t="n">
        <v>40</v>
      </c>
      <c r="D759" s="6" t="n">
        <v>14</v>
      </c>
      <c r="E759" s="6" t="s">
        <v>850</v>
      </c>
      <c r="F759" s="6" t="s">
        <v>1905</v>
      </c>
      <c r="G759" s="6" t="s">
        <v>648</v>
      </c>
      <c r="H759" s="6" t="str">
        <f aca="false">IF(D759&lt;=35,"Yes","No")</f>
        <v>Yes</v>
      </c>
      <c r="I759" s="6"/>
    </row>
    <row r="760" customFormat="false" ht="15" hidden="false" customHeight="false" outlineLevel="0" collapsed="false">
      <c r="A760" s="6" t="s">
        <v>2210</v>
      </c>
      <c r="B760" s="6" t="s">
        <v>1853</v>
      </c>
      <c r="C760" s="6" t="n">
        <v>40</v>
      </c>
      <c r="D760" s="6" t="n">
        <v>20</v>
      </c>
      <c r="E760" s="6" t="s">
        <v>1622</v>
      </c>
      <c r="F760" s="6" t="s">
        <v>2066</v>
      </c>
      <c r="G760" s="6" t="s">
        <v>627</v>
      </c>
      <c r="H760" s="6" t="str">
        <f aca="false">IF(D760&lt;=35,"Yes","No")</f>
        <v>Yes</v>
      </c>
      <c r="I760" s="6"/>
    </row>
    <row r="761" customFormat="false" ht="15" hidden="false" customHeight="false" outlineLevel="0" collapsed="false">
      <c r="A761" s="6" t="s">
        <v>2211</v>
      </c>
      <c r="B761" s="6" t="s">
        <v>1853</v>
      </c>
      <c r="C761" s="6" t="n">
        <v>40</v>
      </c>
      <c r="D761" s="6" t="n">
        <v>8</v>
      </c>
      <c r="E761" s="6" t="s">
        <v>881</v>
      </c>
      <c r="F761" s="6" t="s">
        <v>1933</v>
      </c>
      <c r="G761" s="6" t="s">
        <v>627</v>
      </c>
      <c r="H761" s="6" t="str">
        <f aca="false">IF(D761&lt;=35,"Yes","No")</f>
        <v>Yes</v>
      </c>
      <c r="I761" s="6"/>
    </row>
    <row r="762" customFormat="false" ht="15" hidden="false" customHeight="false" outlineLevel="0" collapsed="false">
      <c r="A762" s="6" t="s">
        <v>1162</v>
      </c>
      <c r="B762" s="6" t="s">
        <v>1853</v>
      </c>
      <c r="C762" s="6" t="n">
        <v>40</v>
      </c>
      <c r="D762" s="6" t="n">
        <v>8</v>
      </c>
      <c r="E762" s="6" t="s">
        <v>642</v>
      </c>
      <c r="F762" s="6" t="s">
        <v>1885</v>
      </c>
      <c r="G762" s="6" t="s">
        <v>627</v>
      </c>
      <c r="H762" s="6" t="str">
        <f aca="false">IF(D762&lt;=35,"Yes","No")</f>
        <v>Yes</v>
      </c>
      <c r="I762" s="6"/>
    </row>
    <row r="763" customFormat="false" ht="15" hidden="false" customHeight="false" outlineLevel="0" collapsed="false">
      <c r="A763" s="6" t="s">
        <v>1975</v>
      </c>
      <c r="B763" s="6" t="s">
        <v>198</v>
      </c>
      <c r="C763" s="6" t="n">
        <v>40</v>
      </c>
      <c r="D763" s="6" t="n">
        <v>15</v>
      </c>
      <c r="E763" s="6" t="s">
        <v>738</v>
      </c>
      <c r="F763" s="6" t="s">
        <v>1952</v>
      </c>
      <c r="G763" s="6" t="s">
        <v>627</v>
      </c>
      <c r="H763" s="6" t="str">
        <f aca="false">IF(D763&lt;=35,"Yes","No")</f>
        <v>Yes</v>
      </c>
      <c r="I763" s="6"/>
    </row>
    <row r="764" customFormat="false" ht="15" hidden="false" customHeight="false" outlineLevel="0" collapsed="false">
      <c r="A764" s="6" t="s">
        <v>2212</v>
      </c>
      <c r="B764" s="6" t="s">
        <v>198</v>
      </c>
      <c r="C764" s="6" t="n">
        <v>40</v>
      </c>
      <c r="D764" s="6" t="n">
        <v>13</v>
      </c>
      <c r="E764" s="6" t="s">
        <v>738</v>
      </c>
      <c r="F764" s="6" t="s">
        <v>2213</v>
      </c>
      <c r="G764" s="6" t="s">
        <v>627</v>
      </c>
      <c r="H764" s="6" t="str">
        <f aca="false">IF(D764&lt;=35,"Yes","No")</f>
        <v>Yes</v>
      </c>
      <c r="I764" s="6"/>
    </row>
    <row r="765" customFormat="false" ht="15" hidden="false" customHeight="false" outlineLevel="0" collapsed="false">
      <c r="A765" s="6" t="s">
        <v>1702</v>
      </c>
      <c r="B765" s="6" t="s">
        <v>198</v>
      </c>
      <c r="C765" s="6" t="n">
        <v>40</v>
      </c>
      <c r="D765" s="6" t="n">
        <v>5</v>
      </c>
      <c r="E765" s="6" t="s">
        <v>738</v>
      </c>
      <c r="F765" s="6" t="s">
        <v>2177</v>
      </c>
      <c r="G765" s="6" t="s">
        <v>627</v>
      </c>
      <c r="H765" s="6" t="str">
        <f aca="false">IF(D765&lt;=35,"Yes","No")</f>
        <v>Yes</v>
      </c>
      <c r="I765" s="6"/>
    </row>
    <row r="766" customFormat="false" ht="15" hidden="false" customHeight="false" outlineLevel="0" collapsed="false">
      <c r="A766" s="6" t="s">
        <v>1234</v>
      </c>
      <c r="B766" s="6" t="s">
        <v>198</v>
      </c>
      <c r="C766" s="6" t="n">
        <v>40</v>
      </c>
      <c r="D766" s="6" t="n">
        <v>9</v>
      </c>
      <c r="E766" s="6" t="s">
        <v>2070</v>
      </c>
      <c r="F766" s="6" t="s">
        <v>1882</v>
      </c>
      <c r="G766" s="6" t="s">
        <v>648</v>
      </c>
      <c r="H766" s="6" t="str">
        <f aca="false">IF(D766&lt;=35,"Yes","No")</f>
        <v>Yes</v>
      </c>
      <c r="I766" s="6"/>
    </row>
    <row r="767" customFormat="false" ht="15" hidden="false" customHeight="false" outlineLevel="0" collapsed="false">
      <c r="A767" s="6" t="s">
        <v>2214</v>
      </c>
      <c r="B767" s="6" t="s">
        <v>1853</v>
      </c>
      <c r="C767" s="6" t="n">
        <v>40</v>
      </c>
      <c r="D767" s="6" t="n">
        <v>6</v>
      </c>
      <c r="E767" s="6" t="s">
        <v>642</v>
      </c>
      <c r="F767" s="6" t="s">
        <v>2215</v>
      </c>
      <c r="G767" s="6" t="s">
        <v>627</v>
      </c>
      <c r="H767" s="6" t="str">
        <f aca="false">IF(D767&lt;=35,"Yes","No")</f>
        <v>Yes</v>
      </c>
      <c r="I767" s="6"/>
    </row>
    <row r="768" customFormat="false" ht="15" hidden="false" customHeight="false" outlineLevel="0" collapsed="false">
      <c r="A768" s="6" t="s">
        <v>2216</v>
      </c>
      <c r="B768" s="6" t="s">
        <v>1853</v>
      </c>
      <c r="C768" s="6" t="n">
        <v>40</v>
      </c>
      <c r="D768" s="6" t="n">
        <v>10</v>
      </c>
      <c r="E768" s="6" t="s">
        <v>642</v>
      </c>
      <c r="F768" s="6" t="s">
        <v>2018</v>
      </c>
      <c r="G768" s="6" t="s">
        <v>627</v>
      </c>
      <c r="H768" s="6" t="str">
        <f aca="false">IF(D768&lt;=35,"Yes","No")</f>
        <v>Yes</v>
      </c>
      <c r="I768" s="6"/>
    </row>
    <row r="769" customFormat="false" ht="15" hidden="false" customHeight="false" outlineLevel="0" collapsed="false">
      <c r="A769" s="6" t="s">
        <v>1583</v>
      </c>
      <c r="B769" s="6" t="s">
        <v>198</v>
      </c>
      <c r="C769" s="6" t="n">
        <v>40</v>
      </c>
      <c r="D769" s="6" t="n">
        <v>7</v>
      </c>
      <c r="E769" s="6" t="s">
        <v>796</v>
      </c>
      <c r="F769" s="6" t="s">
        <v>1952</v>
      </c>
      <c r="G769" s="6" t="s">
        <v>648</v>
      </c>
      <c r="H769" s="6" t="str">
        <f aca="false">IF(D769&lt;=35,"Yes","No")</f>
        <v>Yes</v>
      </c>
      <c r="I769" s="6"/>
    </row>
    <row r="770" customFormat="false" ht="15" hidden="false" customHeight="false" outlineLevel="0" collapsed="false">
      <c r="A770" s="6" t="s">
        <v>1399</v>
      </c>
      <c r="B770" s="6" t="s">
        <v>198</v>
      </c>
      <c r="C770" s="6" t="n">
        <v>40</v>
      </c>
      <c r="D770" s="6" t="n">
        <v>6</v>
      </c>
      <c r="E770" s="6" t="s">
        <v>796</v>
      </c>
      <c r="F770" s="6" t="s">
        <v>1916</v>
      </c>
      <c r="G770" s="6" t="s">
        <v>648</v>
      </c>
      <c r="H770" s="6" t="str">
        <f aca="false">IF(D770&lt;=35,"Yes","No")</f>
        <v>Yes</v>
      </c>
      <c r="I770" s="6"/>
    </row>
    <row r="771" customFormat="false" ht="15" hidden="false" customHeight="false" outlineLevel="0" collapsed="false">
      <c r="A771" s="6" t="s">
        <v>1652</v>
      </c>
      <c r="B771" s="6" t="s">
        <v>198</v>
      </c>
      <c r="C771" s="6" t="n">
        <v>40</v>
      </c>
      <c r="D771" s="6" t="n">
        <v>9</v>
      </c>
      <c r="E771" s="6" t="s">
        <v>796</v>
      </c>
      <c r="F771" s="6" t="s">
        <v>2141</v>
      </c>
      <c r="G771" s="6" t="s">
        <v>648</v>
      </c>
      <c r="H771" s="6" t="str">
        <f aca="false">IF(D771&lt;=35,"Yes","No")</f>
        <v>Yes</v>
      </c>
      <c r="I771" s="6"/>
    </row>
    <row r="772" customFormat="false" ht="15" hidden="false" customHeight="false" outlineLevel="0" collapsed="false">
      <c r="A772" s="6" t="s">
        <v>2217</v>
      </c>
      <c r="B772" s="6" t="s">
        <v>1853</v>
      </c>
      <c r="C772" s="6" t="n">
        <v>30</v>
      </c>
      <c r="D772" s="6" t="n">
        <v>7</v>
      </c>
      <c r="E772" s="6" t="s">
        <v>1308</v>
      </c>
      <c r="F772" s="6" t="s">
        <v>1982</v>
      </c>
      <c r="G772" s="6" t="s">
        <v>648</v>
      </c>
      <c r="H772" s="6" t="str">
        <f aca="false">IF(D772&lt;=35,"Yes","No")</f>
        <v>Yes</v>
      </c>
      <c r="I772" s="6"/>
    </row>
    <row r="773" customFormat="false" ht="15" hidden="false" customHeight="false" outlineLevel="0" collapsed="false">
      <c r="A773" s="6" t="s">
        <v>2218</v>
      </c>
      <c r="B773" s="6" t="s">
        <v>1853</v>
      </c>
      <c r="C773" s="6" t="n">
        <v>30</v>
      </c>
      <c r="D773" s="6" t="n">
        <v>14</v>
      </c>
      <c r="E773" s="6" t="s">
        <v>1308</v>
      </c>
      <c r="F773" s="6" t="s">
        <v>1887</v>
      </c>
      <c r="G773" s="6" t="s">
        <v>648</v>
      </c>
      <c r="H773" s="6" t="str">
        <f aca="false">IF(D773&lt;=35,"Yes","No")</f>
        <v>Yes</v>
      </c>
      <c r="I773" s="6"/>
    </row>
    <row r="774" customFormat="false" ht="15" hidden="false" customHeight="false" outlineLevel="0" collapsed="false">
      <c r="A774" s="6" t="s">
        <v>2219</v>
      </c>
      <c r="B774" s="6" t="s">
        <v>1853</v>
      </c>
      <c r="C774" s="6" t="n">
        <v>30</v>
      </c>
      <c r="D774" s="6" t="n">
        <v>21</v>
      </c>
      <c r="E774" s="6" t="s">
        <v>649</v>
      </c>
      <c r="F774" s="6" t="s">
        <v>1876</v>
      </c>
      <c r="G774" s="6" t="s">
        <v>648</v>
      </c>
      <c r="H774" s="6" t="str">
        <f aca="false">IF(D774&lt;=35,"Yes","No")</f>
        <v>Yes</v>
      </c>
      <c r="I774" s="6"/>
    </row>
    <row r="775" customFormat="false" ht="15" hidden="false" customHeight="false" outlineLevel="0" collapsed="false">
      <c r="A775" s="6" t="s">
        <v>1666</v>
      </c>
      <c r="B775" s="6" t="s">
        <v>1853</v>
      </c>
      <c r="C775" s="6" t="n">
        <v>30</v>
      </c>
      <c r="D775" s="6" t="n">
        <v>26</v>
      </c>
      <c r="E775" s="6" t="s">
        <v>649</v>
      </c>
      <c r="F775" s="6" t="s">
        <v>1891</v>
      </c>
      <c r="G775" s="6" t="s">
        <v>648</v>
      </c>
      <c r="H775" s="6" t="str">
        <f aca="false">IF(D775&lt;=35,"Yes","No")</f>
        <v>Yes</v>
      </c>
      <c r="I775" s="6"/>
    </row>
    <row r="776" customFormat="false" ht="15" hidden="false" customHeight="false" outlineLevel="0" collapsed="false">
      <c r="A776" s="6" t="s">
        <v>853</v>
      </c>
      <c r="B776" s="6" t="s">
        <v>1853</v>
      </c>
      <c r="C776" s="6" t="n">
        <v>30</v>
      </c>
      <c r="D776" s="6" t="n">
        <v>14</v>
      </c>
      <c r="E776" s="6" t="s">
        <v>649</v>
      </c>
      <c r="F776" s="6" t="s">
        <v>1994</v>
      </c>
      <c r="G776" s="6" t="s">
        <v>648</v>
      </c>
      <c r="H776" s="6" t="str">
        <f aca="false">IF(D776&lt;=35,"Yes","No")</f>
        <v>Yes</v>
      </c>
      <c r="I776" s="6"/>
    </row>
    <row r="777" customFormat="false" ht="15" hidden="false" customHeight="false" outlineLevel="0" collapsed="false">
      <c r="A777" s="6" t="s">
        <v>2220</v>
      </c>
      <c r="B777" s="6" t="s">
        <v>1853</v>
      </c>
      <c r="C777" s="6" t="n">
        <v>30</v>
      </c>
      <c r="D777" s="6" t="n">
        <v>8</v>
      </c>
      <c r="E777" s="6" t="s">
        <v>649</v>
      </c>
      <c r="F777" s="6" t="s">
        <v>1872</v>
      </c>
      <c r="G777" s="6" t="s">
        <v>648</v>
      </c>
      <c r="H777" s="6" t="str">
        <f aca="false">IF(D777&lt;=35,"Yes","No")</f>
        <v>Yes</v>
      </c>
      <c r="I777" s="6"/>
    </row>
    <row r="778" customFormat="false" ht="15" hidden="false" customHeight="false" outlineLevel="0" collapsed="false">
      <c r="A778" s="6" t="s">
        <v>2221</v>
      </c>
      <c r="B778" s="6" t="s">
        <v>1853</v>
      </c>
      <c r="C778" s="6" t="n">
        <v>30</v>
      </c>
      <c r="D778" s="6" t="n">
        <v>25</v>
      </c>
      <c r="E778" s="6" t="s">
        <v>649</v>
      </c>
      <c r="F778" s="6" t="s">
        <v>1869</v>
      </c>
      <c r="G778" s="6" t="s">
        <v>648</v>
      </c>
      <c r="H778" s="6" t="str">
        <f aca="false">IF(D778&lt;=35,"Yes","No")</f>
        <v>Yes</v>
      </c>
      <c r="I778" s="6"/>
    </row>
    <row r="779" customFormat="false" ht="15" hidden="false" customHeight="false" outlineLevel="0" collapsed="false">
      <c r="A779" s="6" t="s">
        <v>1642</v>
      </c>
      <c r="B779" s="6" t="s">
        <v>1853</v>
      </c>
      <c r="C779" s="6" t="n">
        <v>30</v>
      </c>
      <c r="D779" s="6" t="n">
        <v>10</v>
      </c>
      <c r="E779" s="6" t="s">
        <v>700</v>
      </c>
      <c r="F779" s="6" t="s">
        <v>1878</v>
      </c>
      <c r="G779" s="6" t="s">
        <v>648</v>
      </c>
      <c r="H779" s="6" t="str">
        <f aca="false">IF(D779&lt;=35,"Yes","No")</f>
        <v>Yes</v>
      </c>
      <c r="I779" s="6"/>
    </row>
    <row r="780" customFormat="false" ht="15" hidden="false" customHeight="false" outlineLevel="0" collapsed="false">
      <c r="A780" s="6" t="s">
        <v>1749</v>
      </c>
      <c r="B780" s="6" t="s">
        <v>1853</v>
      </c>
      <c r="C780" s="6" t="n">
        <v>30</v>
      </c>
      <c r="D780" s="6" t="n">
        <v>29</v>
      </c>
      <c r="E780" s="6" t="s">
        <v>700</v>
      </c>
      <c r="F780" s="6" t="s">
        <v>1905</v>
      </c>
      <c r="G780" s="6" t="s">
        <v>648</v>
      </c>
      <c r="H780" s="6" t="str">
        <f aca="false">IF(D780&lt;=35,"Yes","No")</f>
        <v>Yes</v>
      </c>
      <c r="I780" s="6"/>
    </row>
    <row r="781" customFormat="false" ht="15" hidden="false" customHeight="false" outlineLevel="0" collapsed="false">
      <c r="A781" s="6" t="s">
        <v>2222</v>
      </c>
      <c r="B781" s="6" t="s">
        <v>1853</v>
      </c>
      <c r="C781" s="6" t="n">
        <v>30</v>
      </c>
      <c r="D781" s="6" t="n">
        <v>7</v>
      </c>
      <c r="E781" s="6" t="s">
        <v>850</v>
      </c>
      <c r="F781" s="6" t="s">
        <v>1931</v>
      </c>
      <c r="G781" s="6" t="s">
        <v>648</v>
      </c>
      <c r="H781" s="6" t="str">
        <f aca="false">IF(D781&lt;=35,"Yes","No")</f>
        <v>Yes</v>
      </c>
      <c r="I781" s="6"/>
    </row>
    <row r="782" customFormat="false" ht="15" hidden="false" customHeight="false" outlineLevel="0" collapsed="false">
      <c r="A782" s="6" t="s">
        <v>1971</v>
      </c>
      <c r="B782" s="6" t="s">
        <v>1853</v>
      </c>
      <c r="C782" s="6" t="n">
        <v>30</v>
      </c>
      <c r="D782" s="6" t="n">
        <v>29</v>
      </c>
      <c r="E782" s="6" t="s">
        <v>700</v>
      </c>
      <c r="F782" s="6" t="s">
        <v>1891</v>
      </c>
      <c r="G782" s="6" t="s">
        <v>648</v>
      </c>
      <c r="H782" s="6" t="str">
        <f aca="false">IF(D782&lt;=35,"Yes","No")</f>
        <v>Yes</v>
      </c>
      <c r="I782" s="6"/>
    </row>
    <row r="783" customFormat="false" ht="15" hidden="false" customHeight="false" outlineLevel="0" collapsed="false">
      <c r="A783" s="6" t="s">
        <v>1365</v>
      </c>
      <c r="B783" s="6" t="s">
        <v>198</v>
      </c>
      <c r="C783" s="6" t="n">
        <v>30</v>
      </c>
      <c r="D783" s="6" t="n">
        <v>4</v>
      </c>
      <c r="E783" s="6" t="s">
        <v>1308</v>
      </c>
      <c r="F783" s="6" t="s">
        <v>1988</v>
      </c>
      <c r="G783" s="6" t="s">
        <v>648</v>
      </c>
      <c r="H783" s="6" t="str">
        <f aca="false">IF(D783&lt;=35,"Yes","No")</f>
        <v>Yes</v>
      </c>
      <c r="I783" s="6"/>
    </row>
    <row r="784" customFormat="false" ht="15" hidden="false" customHeight="false" outlineLevel="0" collapsed="false">
      <c r="A784" s="6" t="s">
        <v>2217</v>
      </c>
      <c r="B784" s="6" t="s">
        <v>198</v>
      </c>
      <c r="C784" s="6" t="n">
        <v>30</v>
      </c>
      <c r="D784" s="6" t="n">
        <v>8</v>
      </c>
      <c r="E784" s="6" t="s">
        <v>1308</v>
      </c>
      <c r="F784" s="6" t="s">
        <v>1982</v>
      </c>
      <c r="G784" s="6" t="s">
        <v>648</v>
      </c>
      <c r="H784" s="6" t="str">
        <f aca="false">IF(D784&lt;=35,"Yes","No")</f>
        <v>Yes</v>
      </c>
      <c r="I784" s="6"/>
    </row>
    <row r="785" customFormat="false" ht="15" hidden="false" customHeight="false" outlineLevel="0" collapsed="false">
      <c r="A785" s="6" t="s">
        <v>1463</v>
      </c>
      <c r="B785" s="6" t="s">
        <v>198</v>
      </c>
      <c r="C785" s="6" t="n">
        <v>30</v>
      </c>
      <c r="D785" s="6" t="n">
        <v>8</v>
      </c>
      <c r="E785" s="6" t="s">
        <v>686</v>
      </c>
      <c r="F785" s="6" t="s">
        <v>1878</v>
      </c>
      <c r="G785" s="6" t="s">
        <v>648</v>
      </c>
      <c r="H785" s="6" t="str">
        <f aca="false">IF(D785&lt;=35,"Yes","No")</f>
        <v>Yes</v>
      </c>
      <c r="I785" s="6"/>
    </row>
    <row r="786" customFormat="false" ht="15" hidden="false" customHeight="false" outlineLevel="0" collapsed="false">
      <c r="A786" s="6" t="s">
        <v>2223</v>
      </c>
      <c r="B786" s="6" t="s">
        <v>198</v>
      </c>
      <c r="C786" s="6" t="n">
        <v>30</v>
      </c>
      <c r="D786" s="6" t="n">
        <v>13</v>
      </c>
      <c r="E786" s="6" t="s">
        <v>649</v>
      </c>
      <c r="F786" s="6" t="s">
        <v>1946</v>
      </c>
      <c r="G786" s="6" t="s">
        <v>648</v>
      </c>
      <c r="H786" s="6" t="str">
        <f aca="false">IF(D786&lt;=35,"Yes","No")</f>
        <v>Yes</v>
      </c>
      <c r="I786" s="6"/>
    </row>
    <row r="787" customFormat="false" ht="15" hidden="false" customHeight="false" outlineLevel="0" collapsed="false">
      <c r="A787" s="6" t="s">
        <v>2224</v>
      </c>
      <c r="B787" s="6" t="s">
        <v>198</v>
      </c>
      <c r="C787" s="6" t="n">
        <v>30</v>
      </c>
      <c r="D787" s="6" t="n">
        <v>12</v>
      </c>
      <c r="E787" s="6" t="s">
        <v>692</v>
      </c>
      <c r="F787" s="6" t="s">
        <v>1866</v>
      </c>
      <c r="G787" s="6" t="s">
        <v>648</v>
      </c>
      <c r="H787" s="6" t="str">
        <f aca="false">IF(D787&lt;=35,"Yes","No")</f>
        <v>Yes</v>
      </c>
      <c r="I787" s="6"/>
    </row>
    <row r="788" customFormat="false" ht="15" hidden="false" customHeight="false" outlineLevel="0" collapsed="false">
      <c r="A788" s="6" t="s">
        <v>2225</v>
      </c>
      <c r="B788" s="6" t="s">
        <v>198</v>
      </c>
      <c r="C788" s="6" t="n">
        <v>30</v>
      </c>
      <c r="D788" s="6" t="n">
        <v>12</v>
      </c>
      <c r="E788" s="6" t="s">
        <v>692</v>
      </c>
      <c r="F788" s="6" t="s">
        <v>1863</v>
      </c>
      <c r="G788" s="6" t="s">
        <v>648</v>
      </c>
      <c r="H788" s="6" t="str">
        <f aca="false">IF(D788&lt;=35,"Yes","No")</f>
        <v>Yes</v>
      </c>
      <c r="I788" s="6"/>
    </row>
    <row r="789" customFormat="false" ht="15" hidden="false" customHeight="false" outlineLevel="0" collapsed="false">
      <c r="A789" s="6" t="s">
        <v>1596</v>
      </c>
      <c r="B789" s="6" t="s">
        <v>198</v>
      </c>
      <c r="C789" s="6" t="n">
        <v>30</v>
      </c>
      <c r="D789" s="6" t="n">
        <v>5</v>
      </c>
      <c r="E789" s="6" t="s">
        <v>692</v>
      </c>
      <c r="F789" s="6" t="s">
        <v>1891</v>
      </c>
      <c r="G789" s="6" t="s">
        <v>648</v>
      </c>
      <c r="H789" s="6" t="str">
        <f aca="false">IF(D789&lt;=35,"Yes","No")</f>
        <v>Yes</v>
      </c>
      <c r="I789" s="6"/>
    </row>
    <row r="790" customFormat="false" ht="15" hidden="false" customHeight="false" outlineLevel="0" collapsed="false">
      <c r="A790" s="6" t="s">
        <v>2226</v>
      </c>
      <c r="B790" s="6" t="s">
        <v>1853</v>
      </c>
      <c r="C790" s="6" t="n">
        <v>30</v>
      </c>
      <c r="D790" s="6" t="n">
        <v>10</v>
      </c>
      <c r="E790" s="6" t="s">
        <v>642</v>
      </c>
      <c r="F790" s="6" t="s">
        <v>1914</v>
      </c>
      <c r="G790" s="6" t="s">
        <v>627</v>
      </c>
      <c r="H790" s="6" t="str">
        <f aca="false">IF(D790&lt;=35,"Yes","No")</f>
        <v>Yes</v>
      </c>
      <c r="I790" s="6"/>
    </row>
    <row r="791" customFormat="false" ht="15" hidden="false" customHeight="false" outlineLevel="0" collapsed="false">
      <c r="A791" s="6" t="s">
        <v>2212</v>
      </c>
      <c r="B791" s="6" t="s">
        <v>1853</v>
      </c>
      <c r="C791" s="6" t="n">
        <v>30</v>
      </c>
      <c r="D791" s="6" t="n">
        <v>5</v>
      </c>
      <c r="E791" s="6" t="s">
        <v>738</v>
      </c>
      <c r="F791" s="6" t="s">
        <v>2213</v>
      </c>
      <c r="G791" s="6" t="s">
        <v>627</v>
      </c>
      <c r="H791" s="6" t="str">
        <f aca="false">IF(D791&lt;=35,"Yes","No")</f>
        <v>Yes</v>
      </c>
      <c r="I791" s="6"/>
    </row>
    <row r="792" customFormat="false" ht="15" hidden="false" customHeight="false" outlineLevel="0" collapsed="false">
      <c r="A792" s="6" t="s">
        <v>1859</v>
      </c>
      <c r="B792" s="6" t="s">
        <v>198</v>
      </c>
      <c r="C792" s="6" t="n">
        <v>30</v>
      </c>
      <c r="D792" s="6" t="n">
        <v>6</v>
      </c>
      <c r="E792" s="6" t="s">
        <v>1622</v>
      </c>
      <c r="F792" s="6" t="s">
        <v>1860</v>
      </c>
      <c r="G792" s="6" t="s">
        <v>627</v>
      </c>
      <c r="H792" s="6" t="str">
        <f aca="false">IF(D792&lt;=35,"Yes","No")</f>
        <v>Yes</v>
      </c>
      <c r="I792" s="6"/>
    </row>
    <row r="793" customFormat="false" ht="15" hidden="false" customHeight="false" outlineLevel="0" collapsed="false">
      <c r="A793" s="6" t="s">
        <v>79</v>
      </c>
      <c r="B793" s="6" t="s">
        <v>198</v>
      </c>
      <c r="C793" s="6" t="n">
        <v>30</v>
      </c>
      <c r="D793" s="6" t="n">
        <v>5</v>
      </c>
      <c r="E793" s="6" t="s">
        <v>642</v>
      </c>
      <c r="F793" s="6" t="s">
        <v>1988</v>
      </c>
      <c r="G793" s="6" t="s">
        <v>627</v>
      </c>
      <c r="H793" s="6" t="str">
        <f aca="false">IF(D793&lt;=35,"Yes","No")</f>
        <v>Yes</v>
      </c>
      <c r="I793" s="6"/>
    </row>
    <row r="794" customFormat="false" ht="15" hidden="false" customHeight="false" outlineLevel="0" collapsed="false">
      <c r="A794" s="6" t="s">
        <v>1934</v>
      </c>
      <c r="B794" s="6" t="s">
        <v>198</v>
      </c>
      <c r="C794" s="6" t="n">
        <v>30</v>
      </c>
      <c r="D794" s="6" t="n">
        <v>6</v>
      </c>
      <c r="E794" s="6" t="s">
        <v>642</v>
      </c>
      <c r="F794" s="6" t="s">
        <v>1881</v>
      </c>
      <c r="G794" s="6" t="s">
        <v>627</v>
      </c>
      <c r="H794" s="6" t="str">
        <f aca="false">IF(D794&lt;=35,"Yes","No")</f>
        <v>Yes</v>
      </c>
      <c r="I794" s="6"/>
    </row>
    <row r="795" customFormat="false" ht="15" hidden="false" customHeight="false" outlineLevel="0" collapsed="false">
      <c r="A795" s="6" t="s">
        <v>1466</v>
      </c>
      <c r="B795" s="6" t="s">
        <v>198</v>
      </c>
      <c r="C795" s="6" t="n">
        <v>30</v>
      </c>
      <c r="D795" s="6" t="n">
        <v>5</v>
      </c>
      <c r="E795" s="6" t="s">
        <v>738</v>
      </c>
      <c r="F795" s="6" t="s">
        <v>2132</v>
      </c>
      <c r="G795" s="6" t="s">
        <v>627</v>
      </c>
      <c r="H795" s="6" t="str">
        <f aca="false">IF(D795&lt;=35,"Yes","No")</f>
        <v>Yes</v>
      </c>
      <c r="I795" s="6"/>
    </row>
    <row r="796" customFormat="false" ht="15" hidden="false" customHeight="false" outlineLevel="0" collapsed="false">
      <c r="A796" s="6" t="s">
        <v>1638</v>
      </c>
      <c r="B796" s="6" t="s">
        <v>198</v>
      </c>
      <c r="C796" s="6" t="n">
        <v>30</v>
      </c>
      <c r="D796" s="6" t="n">
        <v>6</v>
      </c>
      <c r="E796" s="6" t="s">
        <v>738</v>
      </c>
      <c r="F796" s="6" t="s">
        <v>2147</v>
      </c>
      <c r="G796" s="6" t="s">
        <v>627</v>
      </c>
      <c r="H796" s="6" t="str">
        <f aca="false">IF(D796&lt;=35,"Yes","No")</f>
        <v>Yes</v>
      </c>
      <c r="I796" s="6"/>
    </row>
    <row r="797" customFormat="false" ht="15" hidden="false" customHeight="false" outlineLevel="0" collapsed="false">
      <c r="A797" s="6" t="s">
        <v>2227</v>
      </c>
      <c r="B797" s="6" t="s">
        <v>198</v>
      </c>
      <c r="C797" s="6" t="n">
        <v>30</v>
      </c>
      <c r="D797" s="6" t="n">
        <v>5</v>
      </c>
      <c r="E797" s="6" t="s">
        <v>738</v>
      </c>
      <c r="F797" s="6" t="s">
        <v>2228</v>
      </c>
      <c r="G797" s="6" t="s">
        <v>627</v>
      </c>
      <c r="H797" s="6" t="str">
        <f aca="false">IF(D797&lt;=35,"Yes","No")</f>
        <v>Yes</v>
      </c>
      <c r="I797" s="6"/>
    </row>
    <row r="798" customFormat="false" ht="15" hidden="false" customHeight="false" outlineLevel="0" collapsed="false">
      <c r="A798" s="6" t="s">
        <v>2229</v>
      </c>
      <c r="B798" s="6" t="s">
        <v>198</v>
      </c>
      <c r="C798" s="6" t="n">
        <v>30</v>
      </c>
      <c r="D798" s="6" t="n">
        <v>7</v>
      </c>
      <c r="E798" s="6" t="s">
        <v>738</v>
      </c>
      <c r="F798" s="6" t="s">
        <v>2230</v>
      </c>
      <c r="G798" s="6" t="s">
        <v>627</v>
      </c>
      <c r="H798" s="6" t="str">
        <f aca="false">IF(D798&lt;=35,"Yes","No")</f>
        <v>Yes</v>
      </c>
      <c r="I798" s="6"/>
    </row>
    <row r="799" customFormat="false" ht="15" hidden="false" customHeight="false" outlineLevel="0" collapsed="false">
      <c r="A799" s="6" t="s">
        <v>1045</v>
      </c>
      <c r="B799" s="6" t="s">
        <v>1853</v>
      </c>
      <c r="C799" s="6" t="n">
        <v>30</v>
      </c>
      <c r="D799" s="6" t="n">
        <v>9</v>
      </c>
      <c r="E799" s="6" t="s">
        <v>642</v>
      </c>
      <c r="F799" s="6" t="s">
        <v>2059</v>
      </c>
      <c r="G799" s="6" t="s">
        <v>627</v>
      </c>
      <c r="H799" s="6" t="str">
        <f aca="false">IF(D799&lt;=35,"Yes","No")</f>
        <v>Yes</v>
      </c>
      <c r="I799" s="6"/>
    </row>
    <row r="800" customFormat="false" ht="15" hidden="false" customHeight="false" outlineLevel="0" collapsed="false">
      <c r="A800" s="6" t="s">
        <v>891</v>
      </c>
      <c r="B800" s="6" t="s">
        <v>1853</v>
      </c>
      <c r="C800" s="6" t="n">
        <v>30</v>
      </c>
      <c r="D800" s="6" t="n">
        <v>7</v>
      </c>
      <c r="E800" s="6" t="s">
        <v>642</v>
      </c>
      <c r="F800" s="6" t="s">
        <v>2040</v>
      </c>
      <c r="G800" s="6" t="s">
        <v>627</v>
      </c>
      <c r="H800" s="6" t="str">
        <f aca="false">IF(D800&lt;=35,"Yes","No")</f>
        <v>Yes</v>
      </c>
      <c r="I800" s="6"/>
    </row>
    <row r="801" customFormat="false" ht="15" hidden="false" customHeight="false" outlineLevel="0" collapsed="false">
      <c r="A801" s="6" t="s">
        <v>1291</v>
      </c>
      <c r="B801" s="6" t="s">
        <v>1853</v>
      </c>
      <c r="C801" s="6" t="n">
        <v>30</v>
      </c>
      <c r="D801" s="6" t="n">
        <v>6</v>
      </c>
      <c r="E801" s="6" t="s">
        <v>1199</v>
      </c>
      <c r="F801" s="6" t="s">
        <v>1978</v>
      </c>
      <c r="G801" s="6" t="s">
        <v>627</v>
      </c>
      <c r="H801" s="6" t="str">
        <f aca="false">IF(D801&lt;=35,"Yes","No")</f>
        <v>Yes</v>
      </c>
      <c r="I801" s="6"/>
    </row>
    <row r="802" customFormat="false" ht="15" hidden="false" customHeight="false" outlineLevel="0" collapsed="false">
      <c r="A802" s="6" t="s">
        <v>1566</v>
      </c>
      <c r="B802" s="6" t="s">
        <v>1853</v>
      </c>
      <c r="C802" s="6" t="n">
        <v>30</v>
      </c>
      <c r="D802" s="6" t="n">
        <v>14</v>
      </c>
      <c r="E802" s="6" t="s">
        <v>859</v>
      </c>
      <c r="F802" s="6" t="s">
        <v>1978</v>
      </c>
      <c r="G802" s="6" t="s">
        <v>627</v>
      </c>
      <c r="H802" s="6" t="str">
        <f aca="false">IF(D802&lt;=35,"Yes","No")</f>
        <v>Yes</v>
      </c>
      <c r="I802" s="6"/>
    </row>
    <row r="803" customFormat="false" ht="15" hidden="false" customHeight="false" outlineLevel="0" collapsed="false">
      <c r="A803" s="6" t="s">
        <v>1237</v>
      </c>
      <c r="B803" s="6" t="s">
        <v>198</v>
      </c>
      <c r="C803" s="6" t="n">
        <v>30</v>
      </c>
      <c r="D803" s="6" t="n">
        <v>11</v>
      </c>
      <c r="E803" s="6" t="s">
        <v>1199</v>
      </c>
      <c r="F803" s="6" t="s">
        <v>2087</v>
      </c>
      <c r="G803" s="6" t="s">
        <v>627</v>
      </c>
      <c r="H803" s="6" t="str">
        <f aca="false">IF(D803&lt;=35,"Yes","No")</f>
        <v>Yes</v>
      </c>
      <c r="I803" s="6"/>
    </row>
    <row r="804" customFormat="false" ht="15" hidden="false" customHeight="false" outlineLevel="0" collapsed="false">
      <c r="A804" s="6" t="s">
        <v>2231</v>
      </c>
      <c r="B804" s="6" t="s">
        <v>198</v>
      </c>
      <c r="C804" s="6" t="n">
        <v>30</v>
      </c>
      <c r="D804" s="6" t="n">
        <v>6</v>
      </c>
      <c r="E804" s="6" t="s">
        <v>859</v>
      </c>
      <c r="F804" s="6" t="s">
        <v>1940</v>
      </c>
      <c r="G804" s="6" t="s">
        <v>627</v>
      </c>
      <c r="H804" s="6" t="str">
        <f aca="false">IF(D804&lt;=35,"Yes","No")</f>
        <v>Yes</v>
      </c>
      <c r="I804" s="6"/>
    </row>
    <row r="805" customFormat="false" ht="15" hidden="false" customHeight="false" outlineLevel="0" collapsed="false">
      <c r="A805" s="6" t="s">
        <v>2232</v>
      </c>
      <c r="B805" s="6" t="s">
        <v>1853</v>
      </c>
      <c r="C805" s="6" t="n">
        <v>20</v>
      </c>
      <c r="D805" s="6" t="n">
        <v>6</v>
      </c>
      <c r="E805" s="6" t="s">
        <v>1308</v>
      </c>
      <c r="F805" s="6" t="s">
        <v>1925</v>
      </c>
      <c r="G805" s="6" t="s">
        <v>648</v>
      </c>
      <c r="H805" s="6" t="str">
        <f aca="false">IF(D805&lt;=35,"Yes","No")</f>
        <v>Yes</v>
      </c>
      <c r="I805" s="6"/>
    </row>
    <row r="806" customFormat="false" ht="15" hidden="false" customHeight="false" outlineLevel="0" collapsed="false">
      <c r="A806" s="6" t="s">
        <v>2233</v>
      </c>
      <c r="B806" s="6" t="s">
        <v>1853</v>
      </c>
      <c r="C806" s="6" t="n">
        <v>20</v>
      </c>
      <c r="D806" s="6" t="n">
        <v>6</v>
      </c>
      <c r="E806" s="6" t="s">
        <v>1308</v>
      </c>
      <c r="F806" s="6" t="s">
        <v>1893</v>
      </c>
      <c r="G806" s="6" t="s">
        <v>648</v>
      </c>
      <c r="H806" s="6" t="str">
        <f aca="false">IF(D806&lt;=35,"Yes","No")</f>
        <v>Yes</v>
      </c>
      <c r="I806" s="6"/>
    </row>
    <row r="807" customFormat="false" ht="15" hidden="false" customHeight="false" outlineLevel="0" collapsed="false">
      <c r="A807" s="6" t="s">
        <v>2234</v>
      </c>
      <c r="B807" s="6" t="s">
        <v>1853</v>
      </c>
      <c r="C807" s="6" t="n">
        <v>20</v>
      </c>
      <c r="D807" s="6" t="n">
        <v>7</v>
      </c>
      <c r="E807" s="6" t="s">
        <v>1308</v>
      </c>
      <c r="F807" s="6" t="s">
        <v>1884</v>
      </c>
      <c r="G807" s="6" t="s">
        <v>648</v>
      </c>
      <c r="H807" s="6" t="str">
        <f aca="false">IF(D807&lt;=35,"Yes","No")</f>
        <v>Yes</v>
      </c>
      <c r="I807" s="6"/>
    </row>
    <row r="808" customFormat="false" ht="15" hidden="false" customHeight="false" outlineLevel="0" collapsed="false">
      <c r="A808" s="6" t="s">
        <v>2186</v>
      </c>
      <c r="B808" s="6" t="s">
        <v>1853</v>
      </c>
      <c r="C808" s="6" t="n">
        <v>20</v>
      </c>
      <c r="D808" s="6" t="n">
        <v>7</v>
      </c>
      <c r="E808" s="6" t="s">
        <v>1308</v>
      </c>
      <c r="F808" s="6" t="s">
        <v>1901</v>
      </c>
      <c r="G808" s="6" t="s">
        <v>648</v>
      </c>
      <c r="H808" s="6" t="str">
        <f aca="false">IF(D808&lt;=35,"Yes","No")</f>
        <v>Yes</v>
      </c>
      <c r="I808" s="6"/>
    </row>
    <row r="809" customFormat="false" ht="15" hidden="false" customHeight="false" outlineLevel="0" collapsed="false">
      <c r="A809" s="6" t="s">
        <v>2235</v>
      </c>
      <c r="B809" s="6" t="s">
        <v>1853</v>
      </c>
      <c r="C809" s="6" t="n">
        <v>20</v>
      </c>
      <c r="D809" s="6" t="n">
        <v>9</v>
      </c>
      <c r="E809" s="6" t="s">
        <v>784</v>
      </c>
      <c r="F809" s="6" t="s">
        <v>1897</v>
      </c>
      <c r="G809" s="6" t="s">
        <v>648</v>
      </c>
      <c r="H809" s="6" t="str">
        <f aca="false">IF(D809&lt;=35,"Yes","No")</f>
        <v>Yes</v>
      </c>
      <c r="I809" s="6"/>
    </row>
    <row r="810" customFormat="false" ht="15" hidden="false" customHeight="false" outlineLevel="0" collapsed="false">
      <c r="A810" s="6" t="s">
        <v>2209</v>
      </c>
      <c r="B810" s="6" t="s">
        <v>1853</v>
      </c>
      <c r="C810" s="6" t="n">
        <v>20</v>
      </c>
      <c r="D810" s="6" t="n">
        <v>6</v>
      </c>
      <c r="E810" s="6" t="s">
        <v>649</v>
      </c>
      <c r="F810" s="6" t="s">
        <v>1914</v>
      </c>
      <c r="G810" s="6" t="s">
        <v>648</v>
      </c>
      <c r="H810" s="6" t="str">
        <f aca="false">IF(D810&lt;=35,"Yes","No")</f>
        <v>Yes</v>
      </c>
      <c r="I810" s="6"/>
    </row>
    <row r="811" customFormat="false" ht="15" hidden="false" customHeight="false" outlineLevel="0" collapsed="false">
      <c r="A811" s="6" t="s">
        <v>2236</v>
      </c>
      <c r="B811" s="6" t="s">
        <v>1853</v>
      </c>
      <c r="C811" s="6" t="n">
        <v>20</v>
      </c>
      <c r="D811" s="6" t="n">
        <v>18</v>
      </c>
      <c r="E811" s="6" t="s">
        <v>649</v>
      </c>
      <c r="F811" s="6" t="s">
        <v>1897</v>
      </c>
      <c r="G811" s="6" t="s">
        <v>648</v>
      </c>
      <c r="H811" s="6" t="str">
        <f aca="false">IF(D811&lt;=35,"Yes","No")</f>
        <v>Yes</v>
      </c>
      <c r="I811" s="6"/>
    </row>
    <row r="812" customFormat="false" ht="15" hidden="false" customHeight="false" outlineLevel="0" collapsed="false">
      <c r="A812" s="6" t="s">
        <v>2237</v>
      </c>
      <c r="B812" s="6" t="s">
        <v>1853</v>
      </c>
      <c r="C812" s="6" t="n">
        <v>20</v>
      </c>
      <c r="D812" s="6" t="n">
        <v>22</v>
      </c>
      <c r="E812" s="6" t="s">
        <v>649</v>
      </c>
      <c r="F812" s="6" t="s">
        <v>1931</v>
      </c>
      <c r="G812" s="6" t="s">
        <v>648</v>
      </c>
      <c r="H812" s="6" t="str">
        <f aca="false">IF(D812&lt;=35,"Yes","No")</f>
        <v>Yes</v>
      </c>
      <c r="I812" s="6"/>
    </row>
    <row r="813" customFormat="false" ht="15" hidden="false" customHeight="false" outlineLevel="0" collapsed="false">
      <c r="A813" s="6" t="s">
        <v>2129</v>
      </c>
      <c r="B813" s="6" t="s">
        <v>1853</v>
      </c>
      <c r="C813" s="6" t="n">
        <v>20</v>
      </c>
      <c r="D813" s="6" t="n">
        <v>31</v>
      </c>
      <c r="E813" s="6" t="s">
        <v>649</v>
      </c>
      <c r="F813" s="6" t="s">
        <v>1863</v>
      </c>
      <c r="G813" s="6" t="s">
        <v>648</v>
      </c>
      <c r="H813" s="6" t="str">
        <f aca="false">IF(D813&lt;=35,"Yes","No")</f>
        <v>Yes</v>
      </c>
      <c r="I813" s="6"/>
    </row>
    <row r="814" customFormat="false" ht="15" hidden="false" customHeight="false" outlineLevel="0" collapsed="false">
      <c r="A814" s="6" t="s">
        <v>1380</v>
      </c>
      <c r="B814" s="6" t="s">
        <v>1853</v>
      </c>
      <c r="C814" s="6" t="n">
        <v>20</v>
      </c>
      <c r="D814" s="6" t="n">
        <v>19</v>
      </c>
      <c r="E814" s="6" t="s">
        <v>649</v>
      </c>
      <c r="F814" s="6" t="s">
        <v>2028</v>
      </c>
      <c r="G814" s="6" t="s">
        <v>648</v>
      </c>
      <c r="H814" s="6" t="str">
        <f aca="false">IF(D814&lt;=35,"Yes","No")</f>
        <v>Yes</v>
      </c>
      <c r="I814" s="6"/>
    </row>
    <row r="815" customFormat="false" ht="15" hidden="false" customHeight="false" outlineLevel="0" collapsed="false">
      <c r="A815" s="6" t="s">
        <v>2138</v>
      </c>
      <c r="B815" s="6" t="s">
        <v>1853</v>
      </c>
      <c r="C815" s="6" t="n">
        <v>20</v>
      </c>
      <c r="D815" s="6" t="n">
        <v>19</v>
      </c>
      <c r="E815" s="6" t="s">
        <v>649</v>
      </c>
      <c r="F815" s="6" t="s">
        <v>1988</v>
      </c>
      <c r="G815" s="6" t="s">
        <v>648</v>
      </c>
      <c r="H815" s="6" t="str">
        <f aca="false">IF(D815&lt;=35,"Yes","No")</f>
        <v>Yes</v>
      </c>
      <c r="I815" s="6"/>
    </row>
    <row r="816" customFormat="false" ht="15" hidden="false" customHeight="false" outlineLevel="0" collapsed="false">
      <c r="A816" s="6" t="s">
        <v>2238</v>
      </c>
      <c r="B816" s="6" t="s">
        <v>1853</v>
      </c>
      <c r="C816" s="6" t="n">
        <v>20</v>
      </c>
      <c r="D816" s="6" t="n">
        <v>6</v>
      </c>
      <c r="E816" s="6" t="s">
        <v>850</v>
      </c>
      <c r="F816" s="6" t="s">
        <v>1938</v>
      </c>
      <c r="G816" s="6" t="s">
        <v>648</v>
      </c>
      <c r="H816" s="6" t="str">
        <f aca="false">IF(D816&lt;=35,"Yes","No")</f>
        <v>Yes</v>
      </c>
      <c r="I816" s="6"/>
    </row>
    <row r="817" customFormat="false" ht="15" hidden="false" customHeight="false" outlineLevel="0" collapsed="false">
      <c r="A817" s="6" t="s">
        <v>2239</v>
      </c>
      <c r="B817" s="6" t="s">
        <v>198</v>
      </c>
      <c r="C817" s="6" t="n">
        <v>20</v>
      </c>
      <c r="D817" s="6" t="n">
        <v>28</v>
      </c>
      <c r="E817" s="6" t="s">
        <v>784</v>
      </c>
      <c r="F817" s="6" t="s">
        <v>1905</v>
      </c>
      <c r="G817" s="6" t="s">
        <v>648</v>
      </c>
      <c r="H817" s="6" t="str">
        <f aca="false">IF(D817&lt;=35,"Yes","No")</f>
        <v>Yes</v>
      </c>
      <c r="I817" s="6"/>
    </row>
    <row r="818" customFormat="false" ht="15" hidden="false" customHeight="false" outlineLevel="0" collapsed="false">
      <c r="A818" s="6" t="s">
        <v>1979</v>
      </c>
      <c r="B818" s="6" t="s">
        <v>198</v>
      </c>
      <c r="C818" s="6" t="n">
        <v>20</v>
      </c>
      <c r="D818" s="6" t="n">
        <v>8</v>
      </c>
      <c r="E818" s="6" t="s">
        <v>649</v>
      </c>
      <c r="F818" s="6" t="s">
        <v>1893</v>
      </c>
      <c r="G818" s="6" t="s">
        <v>648</v>
      </c>
      <c r="H818" s="6" t="str">
        <f aca="false">IF(D818&lt;=35,"Yes","No")</f>
        <v>Yes</v>
      </c>
      <c r="I818" s="6"/>
    </row>
    <row r="819" customFormat="false" ht="15" hidden="false" customHeight="false" outlineLevel="0" collapsed="false">
      <c r="A819" s="6" t="s">
        <v>2236</v>
      </c>
      <c r="B819" s="6" t="s">
        <v>198</v>
      </c>
      <c r="C819" s="6" t="n">
        <v>20</v>
      </c>
      <c r="D819" s="6" t="n">
        <v>17</v>
      </c>
      <c r="E819" s="6" t="s">
        <v>649</v>
      </c>
      <c r="F819" s="6" t="s">
        <v>1897</v>
      </c>
      <c r="G819" s="6" t="s">
        <v>648</v>
      </c>
      <c r="H819" s="6" t="str">
        <f aca="false">IF(D819&lt;=35,"Yes","No")</f>
        <v>Yes</v>
      </c>
      <c r="I819" s="6"/>
    </row>
    <row r="820" customFormat="false" ht="15" hidden="false" customHeight="false" outlineLevel="0" collapsed="false">
      <c r="A820" s="6" t="s">
        <v>2202</v>
      </c>
      <c r="B820" s="6" t="s">
        <v>198</v>
      </c>
      <c r="C820" s="6" t="n">
        <v>20</v>
      </c>
      <c r="D820" s="6" t="n">
        <v>9</v>
      </c>
      <c r="E820" s="6" t="s">
        <v>649</v>
      </c>
      <c r="F820" s="6" t="s">
        <v>1909</v>
      </c>
      <c r="G820" s="6" t="s">
        <v>648</v>
      </c>
      <c r="H820" s="6" t="str">
        <f aca="false">IF(D820&lt;=35,"Yes","No")</f>
        <v>Yes</v>
      </c>
      <c r="I820" s="6"/>
    </row>
    <row r="821" customFormat="false" ht="15" hidden="false" customHeight="false" outlineLevel="0" collapsed="false">
      <c r="A821" s="6" t="s">
        <v>1917</v>
      </c>
      <c r="B821" s="6" t="s">
        <v>198</v>
      </c>
      <c r="C821" s="6" t="n">
        <v>20</v>
      </c>
      <c r="D821" s="6" t="n">
        <v>39</v>
      </c>
      <c r="E821" s="6" t="s">
        <v>649</v>
      </c>
      <c r="F821" s="6" t="s">
        <v>1918</v>
      </c>
      <c r="G821" s="6" t="s">
        <v>648</v>
      </c>
      <c r="H821" s="6" t="str">
        <f aca="false">IF(D821&lt;=35,"Yes","No")</f>
        <v>No</v>
      </c>
      <c r="I821" s="6"/>
    </row>
    <row r="822" customFormat="false" ht="15" hidden="false" customHeight="false" outlineLevel="0" collapsed="false">
      <c r="A822" s="6" t="s">
        <v>2063</v>
      </c>
      <c r="B822" s="6" t="s">
        <v>198</v>
      </c>
      <c r="C822" s="6" t="n">
        <v>20</v>
      </c>
      <c r="D822" s="6" t="n">
        <v>21</v>
      </c>
      <c r="E822" s="6" t="s">
        <v>649</v>
      </c>
      <c r="F822" s="6" t="s">
        <v>1895</v>
      </c>
      <c r="G822" s="6" t="s">
        <v>648</v>
      </c>
      <c r="H822" s="6" t="str">
        <f aca="false">IF(D822&lt;=35,"Yes","No")</f>
        <v>Yes</v>
      </c>
      <c r="I822" s="6"/>
    </row>
    <row r="823" customFormat="false" ht="15" hidden="false" customHeight="false" outlineLevel="0" collapsed="false">
      <c r="A823" s="6" t="s">
        <v>2151</v>
      </c>
      <c r="B823" s="6" t="s">
        <v>198</v>
      </c>
      <c r="C823" s="6" t="n">
        <v>20</v>
      </c>
      <c r="D823" s="6" t="n">
        <v>12</v>
      </c>
      <c r="E823" s="6" t="s">
        <v>649</v>
      </c>
      <c r="F823" s="6" t="s">
        <v>1884</v>
      </c>
      <c r="G823" s="6" t="s">
        <v>648</v>
      </c>
      <c r="H823" s="6" t="str">
        <f aca="false">IF(D823&lt;=35,"Yes","No")</f>
        <v>Yes</v>
      </c>
      <c r="I823" s="6"/>
    </row>
    <row r="824" customFormat="false" ht="15" hidden="false" customHeight="false" outlineLevel="0" collapsed="false">
      <c r="A824" s="6" t="s">
        <v>2240</v>
      </c>
      <c r="B824" s="6" t="s">
        <v>198</v>
      </c>
      <c r="C824" s="6" t="n">
        <v>20</v>
      </c>
      <c r="D824" s="6" t="n">
        <v>14</v>
      </c>
      <c r="E824" s="6" t="s">
        <v>649</v>
      </c>
      <c r="F824" s="6" t="s">
        <v>1901</v>
      </c>
      <c r="G824" s="6" t="s">
        <v>648</v>
      </c>
      <c r="H824" s="6" t="str">
        <f aca="false">IF(D824&lt;=35,"Yes","No")</f>
        <v>Yes</v>
      </c>
      <c r="I824" s="6"/>
    </row>
    <row r="825" customFormat="false" ht="15" hidden="false" customHeight="false" outlineLevel="0" collapsed="false">
      <c r="A825" s="6" t="s">
        <v>2122</v>
      </c>
      <c r="B825" s="6" t="s">
        <v>198</v>
      </c>
      <c r="C825" s="6" t="n">
        <v>20</v>
      </c>
      <c r="D825" s="6" t="n">
        <v>6</v>
      </c>
      <c r="E825" s="6" t="s">
        <v>649</v>
      </c>
      <c r="F825" s="6" t="s">
        <v>1872</v>
      </c>
      <c r="G825" s="6" t="s">
        <v>648</v>
      </c>
      <c r="H825" s="6" t="str">
        <f aca="false">IF(D825&lt;=35,"Yes","No")</f>
        <v>Yes</v>
      </c>
      <c r="I825" s="6"/>
    </row>
    <row r="826" customFormat="false" ht="15" hidden="false" customHeight="false" outlineLevel="0" collapsed="false">
      <c r="A826" s="6" t="s">
        <v>1434</v>
      </c>
      <c r="B826" s="6" t="s">
        <v>198</v>
      </c>
      <c r="C826" s="6" t="n">
        <v>20</v>
      </c>
      <c r="D826" s="6" t="n">
        <v>15</v>
      </c>
      <c r="E826" s="6" t="s">
        <v>649</v>
      </c>
      <c r="F826" s="6" t="s">
        <v>1869</v>
      </c>
      <c r="G826" s="6" t="s">
        <v>648</v>
      </c>
      <c r="H826" s="6" t="str">
        <f aca="false">IF(D826&lt;=35,"Yes","No")</f>
        <v>Yes</v>
      </c>
      <c r="I826" s="6"/>
    </row>
    <row r="827" customFormat="false" ht="15" hidden="false" customHeight="false" outlineLevel="0" collapsed="false">
      <c r="A827" s="6" t="s">
        <v>2184</v>
      </c>
      <c r="B827" s="6" t="s">
        <v>198</v>
      </c>
      <c r="C827" s="6" t="n">
        <v>20</v>
      </c>
      <c r="D827" s="6" t="n">
        <v>4</v>
      </c>
      <c r="E827" s="6" t="s">
        <v>649</v>
      </c>
      <c r="F827" s="6" t="s">
        <v>1933</v>
      </c>
      <c r="G827" s="6" t="s">
        <v>648</v>
      </c>
      <c r="H827" s="6" t="str">
        <f aca="false">IF(D827&lt;=35,"Yes","No")</f>
        <v>Yes</v>
      </c>
      <c r="I827" s="6"/>
    </row>
    <row r="828" customFormat="false" ht="15" hidden="false" customHeight="false" outlineLevel="0" collapsed="false">
      <c r="A828" s="6" t="s">
        <v>2220</v>
      </c>
      <c r="B828" s="6" t="s">
        <v>198</v>
      </c>
      <c r="C828" s="6" t="n">
        <v>20</v>
      </c>
      <c r="D828" s="6" t="n">
        <v>5</v>
      </c>
      <c r="E828" s="6" t="s">
        <v>649</v>
      </c>
      <c r="F828" s="6" t="s">
        <v>1872</v>
      </c>
      <c r="G828" s="6" t="s">
        <v>648</v>
      </c>
      <c r="H828" s="6" t="str">
        <f aca="false">IF(D828&lt;=35,"Yes","No")</f>
        <v>Yes</v>
      </c>
      <c r="I828" s="6"/>
    </row>
    <row r="829" customFormat="false" ht="15" hidden="false" customHeight="false" outlineLevel="0" collapsed="false">
      <c r="A829" s="6" t="s">
        <v>1376</v>
      </c>
      <c r="B829" s="6" t="s">
        <v>198</v>
      </c>
      <c r="C829" s="6" t="n">
        <v>20</v>
      </c>
      <c r="D829" s="6" t="n">
        <v>11</v>
      </c>
      <c r="E829" s="6" t="s">
        <v>700</v>
      </c>
      <c r="F829" s="6" t="s">
        <v>1866</v>
      </c>
      <c r="G829" s="6" t="s">
        <v>648</v>
      </c>
      <c r="H829" s="6" t="str">
        <f aca="false">IF(D829&lt;=35,"Yes","No")</f>
        <v>Yes</v>
      </c>
      <c r="I829" s="6"/>
    </row>
    <row r="830" customFormat="false" ht="15" hidden="false" customHeight="false" outlineLevel="0" collapsed="false">
      <c r="A830" s="6" t="s">
        <v>2241</v>
      </c>
      <c r="B830" s="6" t="s">
        <v>198</v>
      </c>
      <c r="C830" s="6" t="n">
        <v>20</v>
      </c>
      <c r="D830" s="6" t="n">
        <v>0</v>
      </c>
      <c r="E830" s="6" t="s">
        <v>700</v>
      </c>
      <c r="F830" s="6" t="s">
        <v>1891</v>
      </c>
      <c r="G830" s="6" t="s">
        <v>648</v>
      </c>
      <c r="H830" s="6" t="str">
        <f aca="false">IF(D830&lt;=35,"Yes","No")</f>
        <v>Yes</v>
      </c>
      <c r="I830" s="6"/>
    </row>
    <row r="831" customFormat="false" ht="15" hidden="false" customHeight="false" outlineLevel="0" collapsed="false">
      <c r="A831" s="6" t="s">
        <v>1749</v>
      </c>
      <c r="B831" s="6" t="s">
        <v>198</v>
      </c>
      <c r="C831" s="6" t="n">
        <v>20</v>
      </c>
      <c r="D831" s="6" t="n">
        <v>20</v>
      </c>
      <c r="E831" s="6" t="s">
        <v>700</v>
      </c>
      <c r="F831" s="6" t="s">
        <v>1905</v>
      </c>
      <c r="G831" s="6" t="s">
        <v>648</v>
      </c>
      <c r="H831" s="6" t="str">
        <f aca="false">IF(D831&lt;=35,"Yes","No")</f>
        <v>Yes</v>
      </c>
      <c r="I831" s="6"/>
    </row>
    <row r="832" customFormat="false" ht="15" hidden="false" customHeight="false" outlineLevel="0" collapsed="false">
      <c r="A832" s="6" t="s">
        <v>1508</v>
      </c>
      <c r="B832" s="6" t="s">
        <v>198</v>
      </c>
      <c r="C832" s="6" t="n">
        <v>20</v>
      </c>
      <c r="D832" s="6" t="n">
        <v>10</v>
      </c>
      <c r="E832" s="6" t="s">
        <v>850</v>
      </c>
      <c r="F832" s="6" t="s">
        <v>1860</v>
      </c>
      <c r="G832" s="6" t="s">
        <v>648</v>
      </c>
      <c r="H832" s="6" t="str">
        <f aca="false">IF(D832&lt;=35,"Yes","No")</f>
        <v>Yes</v>
      </c>
      <c r="I832" s="6"/>
    </row>
    <row r="833" customFormat="false" ht="15" hidden="false" customHeight="false" outlineLevel="0" collapsed="false">
      <c r="A833" s="6" t="s">
        <v>2222</v>
      </c>
      <c r="B833" s="6" t="s">
        <v>198</v>
      </c>
      <c r="C833" s="6" t="n">
        <v>20</v>
      </c>
      <c r="D833" s="6" t="n">
        <v>6</v>
      </c>
      <c r="E833" s="6" t="s">
        <v>850</v>
      </c>
      <c r="F833" s="6" t="s">
        <v>1931</v>
      </c>
      <c r="G833" s="6" t="s">
        <v>648</v>
      </c>
      <c r="H833" s="6" t="str">
        <f aca="false">IF(D833&lt;=35,"Yes","No")</f>
        <v>Yes</v>
      </c>
      <c r="I833" s="6"/>
    </row>
    <row r="834" customFormat="false" ht="15" hidden="false" customHeight="false" outlineLevel="0" collapsed="false">
      <c r="A834" s="6" t="s">
        <v>2181</v>
      </c>
      <c r="B834" s="6" t="s">
        <v>198</v>
      </c>
      <c r="C834" s="6" t="n">
        <v>20</v>
      </c>
      <c r="D834" s="6" t="n">
        <v>12</v>
      </c>
      <c r="E834" s="6" t="s">
        <v>850</v>
      </c>
      <c r="F834" s="6" t="s">
        <v>1865</v>
      </c>
      <c r="G834" s="6" t="s">
        <v>648</v>
      </c>
      <c r="H834" s="6" t="str">
        <f aca="false">IF(D834&lt;=35,"Yes","No")</f>
        <v>Yes</v>
      </c>
      <c r="I834" s="6"/>
    </row>
    <row r="835" customFormat="false" ht="15" hidden="false" customHeight="false" outlineLevel="0" collapsed="false">
      <c r="A835" s="6" t="s">
        <v>2242</v>
      </c>
      <c r="B835" s="6" t="s">
        <v>1853</v>
      </c>
      <c r="C835" s="6" t="n">
        <v>20</v>
      </c>
      <c r="D835" s="6" t="n">
        <v>6</v>
      </c>
      <c r="E835" s="6" t="s">
        <v>642</v>
      </c>
      <c r="F835" s="6" t="s">
        <v>1863</v>
      </c>
      <c r="G835" s="6" t="s">
        <v>627</v>
      </c>
      <c r="H835" s="6" t="str">
        <f aca="false">IF(D835&lt;=35,"Yes","No")</f>
        <v>Yes</v>
      </c>
      <c r="I835" s="6"/>
    </row>
    <row r="836" customFormat="false" ht="15" hidden="false" customHeight="false" outlineLevel="0" collapsed="false">
      <c r="A836" s="6" t="s">
        <v>1052</v>
      </c>
      <c r="B836" s="6" t="s">
        <v>1853</v>
      </c>
      <c r="C836" s="6" t="n">
        <v>20</v>
      </c>
      <c r="D836" s="6" t="n">
        <v>7</v>
      </c>
      <c r="E836" s="6" t="s">
        <v>642</v>
      </c>
      <c r="F836" s="6" t="s">
        <v>1938</v>
      </c>
      <c r="G836" s="6" t="s">
        <v>627</v>
      </c>
      <c r="H836" s="6" t="str">
        <f aca="false">IF(D836&lt;=35,"Yes","No")</f>
        <v>Yes</v>
      </c>
      <c r="I836" s="6"/>
    </row>
    <row r="837" customFormat="false" ht="15" hidden="false" customHeight="false" outlineLevel="0" collapsed="false">
      <c r="A837" s="6" t="s">
        <v>895</v>
      </c>
      <c r="B837" s="6" t="s">
        <v>1853</v>
      </c>
      <c r="C837" s="6" t="n">
        <v>20</v>
      </c>
      <c r="D837" s="6" t="n">
        <v>5</v>
      </c>
      <c r="E837" s="6" t="s">
        <v>642</v>
      </c>
      <c r="F837" s="6" t="s">
        <v>1911</v>
      </c>
      <c r="G837" s="6" t="s">
        <v>627</v>
      </c>
      <c r="H837" s="6" t="str">
        <f aca="false">IF(D837&lt;=35,"Yes","No")</f>
        <v>Yes</v>
      </c>
      <c r="I837" s="6"/>
    </row>
    <row r="838" customFormat="false" ht="15" hidden="false" customHeight="false" outlineLevel="0" collapsed="false">
      <c r="A838" s="6" t="s">
        <v>2243</v>
      </c>
      <c r="B838" s="6" t="s">
        <v>1853</v>
      </c>
      <c r="C838" s="6" t="n">
        <v>20</v>
      </c>
      <c r="D838" s="6" t="n">
        <v>6</v>
      </c>
      <c r="E838" s="6" t="s">
        <v>738</v>
      </c>
      <c r="F838" s="6" t="s">
        <v>2179</v>
      </c>
      <c r="G838" s="6" t="s">
        <v>627</v>
      </c>
      <c r="H838" s="6" t="str">
        <f aca="false">IF(D838&lt;=35,"Yes","No")</f>
        <v>Yes</v>
      </c>
      <c r="I838" s="6"/>
    </row>
    <row r="839" customFormat="false" ht="15" hidden="false" customHeight="false" outlineLevel="0" collapsed="false">
      <c r="A839" s="6" t="s">
        <v>1960</v>
      </c>
      <c r="B839" s="6" t="s">
        <v>198</v>
      </c>
      <c r="C839" s="6" t="n">
        <v>20</v>
      </c>
      <c r="D839" s="6" t="n">
        <v>7</v>
      </c>
      <c r="E839" s="6" t="s">
        <v>642</v>
      </c>
      <c r="F839" s="6" t="s">
        <v>1887</v>
      </c>
      <c r="G839" s="6" t="s">
        <v>627</v>
      </c>
      <c r="H839" s="6" t="str">
        <f aca="false">IF(D839&lt;=35,"Yes","No")</f>
        <v>Yes</v>
      </c>
      <c r="I839" s="6"/>
    </row>
    <row r="840" customFormat="false" ht="15" hidden="false" customHeight="false" outlineLevel="0" collapsed="false">
      <c r="A840" s="6" t="s">
        <v>2244</v>
      </c>
      <c r="B840" s="6" t="s">
        <v>198</v>
      </c>
      <c r="C840" s="6" t="n">
        <v>20</v>
      </c>
      <c r="D840" s="6" t="n">
        <v>7</v>
      </c>
      <c r="E840" s="6" t="s">
        <v>642</v>
      </c>
      <c r="F840" s="6" t="s">
        <v>1948</v>
      </c>
      <c r="G840" s="6" t="s">
        <v>627</v>
      </c>
      <c r="H840" s="6" t="str">
        <f aca="false">IF(D840&lt;=35,"Yes","No")</f>
        <v>Yes</v>
      </c>
      <c r="I840" s="6"/>
    </row>
    <row r="841" customFormat="false" ht="15" hidden="false" customHeight="false" outlineLevel="0" collapsed="false">
      <c r="A841" s="6" t="s">
        <v>933</v>
      </c>
      <c r="B841" s="6" t="s">
        <v>198</v>
      </c>
      <c r="C841" s="6" t="n">
        <v>20</v>
      </c>
      <c r="D841" s="6" t="n">
        <v>6</v>
      </c>
      <c r="E841" s="6" t="s">
        <v>642</v>
      </c>
      <c r="F841" s="6" t="s">
        <v>1994</v>
      </c>
      <c r="G841" s="6" t="s">
        <v>627</v>
      </c>
      <c r="H841" s="6" t="str">
        <f aca="false">IF(D841&lt;=35,"Yes","No")</f>
        <v>Yes</v>
      </c>
      <c r="I841" s="6"/>
    </row>
    <row r="842" customFormat="false" ht="15" hidden="false" customHeight="false" outlineLevel="0" collapsed="false">
      <c r="A842" s="6" t="s">
        <v>2245</v>
      </c>
      <c r="B842" s="6" t="s">
        <v>198</v>
      </c>
      <c r="C842" s="6" t="n">
        <v>20</v>
      </c>
      <c r="D842" s="6" t="n">
        <v>11</v>
      </c>
      <c r="E842" s="6" t="s">
        <v>738</v>
      </c>
      <c r="F842" s="6" t="s">
        <v>2246</v>
      </c>
      <c r="G842" s="6" t="s">
        <v>627</v>
      </c>
      <c r="H842" s="6" t="str">
        <f aca="false">IF(D842&lt;=35,"Yes","No")</f>
        <v>Yes</v>
      </c>
      <c r="I842" s="6"/>
    </row>
    <row r="843" customFormat="false" ht="15" hidden="false" customHeight="false" outlineLevel="0" collapsed="false">
      <c r="A843" s="6" t="s">
        <v>1205</v>
      </c>
      <c r="B843" s="6" t="s">
        <v>198</v>
      </c>
      <c r="C843" s="6" t="n">
        <v>20</v>
      </c>
      <c r="D843" s="6" t="n">
        <v>4</v>
      </c>
      <c r="E843" s="6" t="s">
        <v>738</v>
      </c>
      <c r="F843" s="6" t="s">
        <v>1963</v>
      </c>
      <c r="G843" s="6" t="s">
        <v>627</v>
      </c>
      <c r="H843" s="6" t="str">
        <f aca="false">IF(D843&lt;=35,"Yes","No")</f>
        <v>Yes</v>
      </c>
      <c r="I843" s="6"/>
    </row>
    <row r="844" customFormat="false" ht="15" hidden="false" customHeight="false" outlineLevel="0" collapsed="false">
      <c r="A844" s="6" t="s">
        <v>1535</v>
      </c>
      <c r="B844" s="6" t="s">
        <v>198</v>
      </c>
      <c r="C844" s="6" t="n">
        <v>20</v>
      </c>
      <c r="D844" s="6" t="n">
        <v>8</v>
      </c>
      <c r="E844" s="6" t="s">
        <v>1536</v>
      </c>
      <c r="F844" s="6" t="s">
        <v>1891</v>
      </c>
      <c r="G844" s="6" t="s">
        <v>648</v>
      </c>
      <c r="H844" s="6" t="str">
        <f aca="false">IF(D844&lt;=35,"Yes","No")</f>
        <v>Yes</v>
      </c>
      <c r="I844" s="6"/>
    </row>
    <row r="845" customFormat="false" ht="15" hidden="false" customHeight="false" outlineLevel="0" collapsed="false">
      <c r="A845" s="6" t="s">
        <v>1245</v>
      </c>
      <c r="B845" s="6" t="s">
        <v>198</v>
      </c>
      <c r="C845" s="6" t="n">
        <v>20</v>
      </c>
      <c r="D845" s="6" t="n">
        <v>8</v>
      </c>
      <c r="E845" s="6" t="s">
        <v>2050</v>
      </c>
      <c r="F845" s="6" t="s">
        <v>1946</v>
      </c>
      <c r="G845" s="6" t="s">
        <v>648</v>
      </c>
      <c r="H845" s="6" t="str">
        <f aca="false">IF(D845&lt;=35,"Yes","No")</f>
        <v>Yes</v>
      </c>
      <c r="I845" s="6"/>
    </row>
    <row r="846" customFormat="false" ht="15" hidden="false" customHeight="false" outlineLevel="0" collapsed="false">
      <c r="A846" s="6" t="s">
        <v>2247</v>
      </c>
      <c r="B846" s="6" t="s">
        <v>1853</v>
      </c>
      <c r="C846" s="6" t="n">
        <v>20</v>
      </c>
      <c r="D846" s="6" t="n">
        <v>11</v>
      </c>
      <c r="E846" s="6" t="s">
        <v>649</v>
      </c>
      <c r="F846" s="6" t="s">
        <v>1876</v>
      </c>
      <c r="G846" s="6" t="s">
        <v>648</v>
      </c>
      <c r="H846" s="6" t="str">
        <f aca="false">IF(D846&lt;=35,"Yes","No")</f>
        <v>Yes</v>
      </c>
      <c r="I846" s="6"/>
    </row>
    <row r="847" customFormat="false" ht="15" hidden="false" customHeight="false" outlineLevel="0" collapsed="false">
      <c r="A847" s="6" t="s">
        <v>2248</v>
      </c>
      <c r="B847" s="6" t="s">
        <v>1853</v>
      </c>
      <c r="C847" s="6" t="n">
        <v>20</v>
      </c>
      <c r="D847" s="6" t="n">
        <v>5</v>
      </c>
      <c r="E847" s="6" t="s">
        <v>642</v>
      </c>
      <c r="F847" s="6" t="s">
        <v>2035</v>
      </c>
      <c r="G847" s="6" t="s">
        <v>627</v>
      </c>
      <c r="H847" s="6" t="str">
        <f aca="false">IF(D847&lt;=35,"Yes","No")</f>
        <v>Yes</v>
      </c>
      <c r="I847" s="6"/>
    </row>
    <row r="848" customFormat="false" ht="15" hidden="false" customHeight="false" outlineLevel="0" collapsed="false">
      <c r="A848" s="6" t="s">
        <v>2249</v>
      </c>
      <c r="B848" s="6" t="s">
        <v>1853</v>
      </c>
      <c r="C848" s="6" t="n">
        <v>20</v>
      </c>
      <c r="D848" s="6" t="n">
        <v>5</v>
      </c>
      <c r="E848" s="6" t="s">
        <v>642</v>
      </c>
      <c r="F848" s="6" t="s">
        <v>2250</v>
      </c>
      <c r="G848" s="6" t="s">
        <v>627</v>
      </c>
      <c r="H848" s="6" t="str">
        <f aca="false">IF(D848&lt;=35,"Yes","No")</f>
        <v>Yes</v>
      </c>
      <c r="I848" s="6"/>
    </row>
    <row r="849" customFormat="false" ht="15" hidden="false" customHeight="false" outlineLevel="0" collapsed="false">
      <c r="A849" s="6" t="s">
        <v>2251</v>
      </c>
      <c r="B849" s="6" t="s">
        <v>1853</v>
      </c>
      <c r="C849" s="6" t="n">
        <v>20</v>
      </c>
      <c r="D849" s="6" t="n">
        <v>9</v>
      </c>
      <c r="E849" s="6" t="s">
        <v>642</v>
      </c>
      <c r="F849" s="6" t="s">
        <v>2252</v>
      </c>
      <c r="G849" s="6" t="s">
        <v>627</v>
      </c>
      <c r="H849" s="6" t="str">
        <f aca="false">IF(D849&lt;=35,"Yes","No")</f>
        <v>Yes</v>
      </c>
      <c r="I849" s="6"/>
    </row>
    <row r="850" customFormat="false" ht="15" hidden="false" customHeight="false" outlineLevel="0" collapsed="false">
      <c r="A850" s="6" t="s">
        <v>2231</v>
      </c>
      <c r="B850" s="6" t="s">
        <v>1853</v>
      </c>
      <c r="C850" s="6" t="n">
        <v>20</v>
      </c>
      <c r="D850" s="6" t="n">
        <v>13</v>
      </c>
      <c r="E850" s="6" t="s">
        <v>859</v>
      </c>
      <c r="F850" s="6" t="s">
        <v>1940</v>
      </c>
      <c r="G850" s="6" t="s">
        <v>627</v>
      </c>
      <c r="H850" s="6" t="str">
        <f aca="false">IF(D850&lt;=35,"Yes","No")</f>
        <v>Yes</v>
      </c>
      <c r="I850" s="6"/>
    </row>
    <row r="851" customFormat="false" ht="15" hidden="false" customHeight="false" outlineLevel="0" collapsed="false">
      <c r="A851" s="6" t="s">
        <v>1396</v>
      </c>
      <c r="B851" s="6" t="s">
        <v>198</v>
      </c>
      <c r="C851" s="6" t="n">
        <v>20</v>
      </c>
      <c r="D851" s="6" t="n">
        <v>10</v>
      </c>
      <c r="E851" s="6" t="s">
        <v>796</v>
      </c>
      <c r="F851" s="6" t="s">
        <v>1885</v>
      </c>
      <c r="G851" s="6" t="s">
        <v>648</v>
      </c>
      <c r="H851" s="6" t="str">
        <f aca="false">IF(D851&lt;=35,"Yes","No")</f>
        <v>Yes</v>
      </c>
      <c r="I851" s="6"/>
    </row>
    <row r="852" customFormat="false" ht="15" hidden="false" customHeight="false" outlineLevel="0" collapsed="false">
      <c r="A852" s="6" t="s">
        <v>1654</v>
      </c>
      <c r="B852" s="6" t="s">
        <v>198</v>
      </c>
      <c r="C852" s="6" t="n">
        <v>20</v>
      </c>
      <c r="D852" s="6" t="n">
        <v>6</v>
      </c>
      <c r="E852" s="6" t="s">
        <v>1199</v>
      </c>
      <c r="F852" s="6" t="s">
        <v>1952</v>
      </c>
      <c r="G852" s="6" t="s">
        <v>627</v>
      </c>
      <c r="H852" s="6" t="str">
        <f aca="false">IF(D852&lt;=35,"Yes","No")</f>
        <v>Yes</v>
      </c>
      <c r="I852" s="6"/>
    </row>
    <row r="853" customFormat="false" ht="15" hidden="false" customHeight="false" outlineLevel="0" collapsed="false">
      <c r="A853" s="6" t="s">
        <v>1405</v>
      </c>
      <c r="B853" s="6" t="s">
        <v>198</v>
      </c>
      <c r="C853" s="6" t="n">
        <v>20</v>
      </c>
      <c r="D853" s="6" t="n">
        <v>13</v>
      </c>
      <c r="E853" s="6" t="s">
        <v>1199</v>
      </c>
      <c r="F853" s="6" t="s">
        <v>1916</v>
      </c>
      <c r="G853" s="6" t="s">
        <v>627</v>
      </c>
      <c r="H853" s="6" t="str">
        <f aca="false">IF(D853&lt;=35,"Yes","No")</f>
        <v>Yes</v>
      </c>
      <c r="I853" s="6"/>
    </row>
  </sheetData>
  <autoFilter ref="A1:I85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8"/>
    <col collapsed="false" customWidth="true" hidden="false" outlineLevel="0" max="3" min="3" style="0" width="10"/>
    <col collapsed="false" customWidth="true" hidden="false" outlineLevel="0" max="4" min="4" style="0" width="7"/>
    <col collapsed="false" customWidth="true" hidden="false" outlineLevel="0" max="5" min="5" style="0" width="60"/>
  </cols>
  <sheetData>
    <row r="1" customFormat="false" ht="33.75" hidden="false" customHeight="true" outlineLevel="0" collapsed="false">
      <c r="A1" s="9" t="s">
        <v>1850</v>
      </c>
      <c r="B1" s="9" t="s">
        <v>1851</v>
      </c>
      <c r="C1" s="9" t="s">
        <v>1852</v>
      </c>
      <c r="D1" s="9" t="s">
        <v>34</v>
      </c>
      <c r="E1" s="9" t="s">
        <v>2253</v>
      </c>
    </row>
    <row r="2" customFormat="false" ht="15" hidden="false" customHeight="false" outlineLevel="0" collapsed="false">
      <c r="A2" s="6" t="s">
        <v>1904</v>
      </c>
      <c r="B2" s="6" t="s">
        <v>1853</v>
      </c>
      <c r="C2" s="6" t="n">
        <v>12100</v>
      </c>
      <c r="D2" s="6" t="n">
        <v>84</v>
      </c>
      <c r="E2" s="6" t="s">
        <v>2254</v>
      </c>
    </row>
    <row r="3" customFormat="false" ht="15" hidden="false" customHeight="false" outlineLevel="0" collapsed="false">
      <c r="A3" s="6" t="s">
        <v>1958</v>
      </c>
      <c r="B3" s="6" t="s">
        <v>1853</v>
      </c>
      <c r="C3" s="6" t="n">
        <v>3100</v>
      </c>
      <c r="D3" s="6" t="n">
        <v>62</v>
      </c>
      <c r="E3" s="6" t="s">
        <v>2254</v>
      </c>
    </row>
    <row r="4" customFormat="false" ht="15" hidden="false" customHeight="false" outlineLevel="0" collapsed="false">
      <c r="A4" s="6" t="s">
        <v>1993</v>
      </c>
      <c r="B4" s="6" t="s">
        <v>1853</v>
      </c>
      <c r="C4" s="6" t="n">
        <v>610</v>
      </c>
      <c r="D4" s="6" t="n">
        <v>12</v>
      </c>
      <c r="E4" s="6" t="s">
        <v>2254</v>
      </c>
    </row>
    <row r="5" customFormat="false" ht="15" hidden="false" customHeight="false" outlineLevel="0" collapsed="false">
      <c r="A5" s="6" t="s">
        <v>2002</v>
      </c>
      <c r="B5" s="6" t="s">
        <v>1853</v>
      </c>
      <c r="C5" s="6" t="n">
        <v>590</v>
      </c>
      <c r="D5" s="6" t="n">
        <v>10</v>
      </c>
      <c r="E5" s="6" t="s">
        <v>2255</v>
      </c>
    </row>
    <row r="6" customFormat="false" ht="15" hidden="false" customHeight="false" outlineLevel="0" collapsed="false">
      <c r="A6" s="6" t="s">
        <v>2004</v>
      </c>
      <c r="B6" s="6" t="s">
        <v>1853</v>
      </c>
      <c r="C6" s="6" t="n">
        <v>590</v>
      </c>
      <c r="D6" s="6" t="n">
        <v>10</v>
      </c>
      <c r="E6" s="6" t="s">
        <v>2255</v>
      </c>
    </row>
    <row r="7" customFormat="false" ht="15" hidden="false" customHeight="false" outlineLevel="0" collapsed="false">
      <c r="A7" s="6" t="s">
        <v>2006</v>
      </c>
      <c r="B7" s="6" t="s">
        <v>1853</v>
      </c>
      <c r="C7" s="6" t="n">
        <v>590</v>
      </c>
      <c r="D7" s="6" t="n">
        <v>23</v>
      </c>
      <c r="E7" s="6" t="s">
        <v>2255</v>
      </c>
    </row>
    <row r="8" customFormat="false" ht="15" hidden="false" customHeight="false" outlineLevel="0" collapsed="false">
      <c r="A8" s="6" t="s">
        <v>2012</v>
      </c>
      <c r="B8" s="6" t="s">
        <v>1853</v>
      </c>
      <c r="C8" s="6" t="n">
        <v>590</v>
      </c>
      <c r="D8" s="6" t="n">
        <v>12</v>
      </c>
      <c r="E8" s="6" t="s">
        <v>2256</v>
      </c>
    </row>
    <row r="9" customFormat="false" ht="15" hidden="false" customHeight="false" outlineLevel="0" collapsed="false">
      <c r="A9" s="6" t="s">
        <v>2015</v>
      </c>
      <c r="B9" s="6" t="s">
        <v>1853</v>
      </c>
      <c r="C9" s="6" t="n">
        <v>590</v>
      </c>
      <c r="D9" s="6" t="n">
        <v>14</v>
      </c>
      <c r="E9" s="6" t="s">
        <v>2255</v>
      </c>
    </row>
    <row r="10" customFormat="false" ht="15" hidden="false" customHeight="false" outlineLevel="0" collapsed="false">
      <c r="A10" s="6" t="s">
        <v>2017</v>
      </c>
      <c r="B10" s="6" t="s">
        <v>1853</v>
      </c>
      <c r="C10" s="6" t="n">
        <v>590</v>
      </c>
      <c r="D10" s="6" t="n">
        <v>16</v>
      </c>
      <c r="E10" s="6" t="s">
        <v>2255</v>
      </c>
    </row>
    <row r="11" customFormat="false" ht="15" hidden="false" customHeight="false" outlineLevel="0" collapsed="false">
      <c r="A11" s="6" t="s">
        <v>2024</v>
      </c>
      <c r="B11" s="6" t="s">
        <v>1853</v>
      </c>
      <c r="C11" s="6" t="n">
        <v>590</v>
      </c>
      <c r="D11" s="6" t="n">
        <v>6</v>
      </c>
      <c r="E11" s="6" t="s">
        <v>2255</v>
      </c>
    </row>
    <row r="12" customFormat="false" ht="15" hidden="false" customHeight="false" outlineLevel="0" collapsed="false">
      <c r="A12" s="6" t="s">
        <v>2026</v>
      </c>
      <c r="B12" s="6" t="s">
        <v>1853</v>
      </c>
      <c r="C12" s="6" t="n">
        <v>590</v>
      </c>
      <c r="D12" s="6" t="n">
        <v>6</v>
      </c>
      <c r="E12" s="6" t="s">
        <v>2255</v>
      </c>
    </row>
    <row r="13" customFormat="false" ht="15" hidden="false" customHeight="false" outlineLevel="0" collapsed="false">
      <c r="A13" s="6" t="s">
        <v>2029</v>
      </c>
      <c r="B13" s="6" t="s">
        <v>1853</v>
      </c>
      <c r="C13" s="6" t="n">
        <v>590</v>
      </c>
      <c r="D13" s="6" t="n">
        <v>7</v>
      </c>
      <c r="E13" s="6" t="s">
        <v>2256</v>
      </c>
    </row>
    <row r="14" customFormat="false" ht="15" hidden="false" customHeight="false" outlineLevel="0" collapsed="false">
      <c r="A14" s="6" t="s">
        <v>1904</v>
      </c>
      <c r="B14" s="6" t="s">
        <v>198</v>
      </c>
      <c r="C14" s="6" t="n">
        <v>390</v>
      </c>
      <c r="D14" s="6" t="n">
        <v>21</v>
      </c>
      <c r="E14" s="6" t="s">
        <v>2254</v>
      </c>
    </row>
    <row r="15" customFormat="false" ht="15" hidden="false" customHeight="false" outlineLevel="0" collapsed="false">
      <c r="A15" s="6" t="s">
        <v>2102</v>
      </c>
      <c r="B15" s="6" t="s">
        <v>1853</v>
      </c>
      <c r="C15" s="6" t="n">
        <v>260</v>
      </c>
      <c r="D15" s="6" t="n">
        <v>9</v>
      </c>
      <c r="E15" s="6" t="s">
        <v>2255</v>
      </c>
    </row>
    <row r="16" customFormat="false" ht="15" hidden="false" customHeight="false" outlineLevel="0" collapsed="false">
      <c r="A16" s="6" t="s">
        <v>2117</v>
      </c>
      <c r="B16" s="6" t="s">
        <v>1853</v>
      </c>
      <c r="C16" s="6" t="n">
        <v>210</v>
      </c>
      <c r="D16" s="6" t="n">
        <v>15</v>
      </c>
      <c r="E16" s="6" t="s">
        <v>2255</v>
      </c>
    </row>
    <row r="17" customFormat="false" ht="15" hidden="false" customHeight="false" outlineLevel="0" collapsed="false">
      <c r="A17" s="6" t="s">
        <v>2120</v>
      </c>
      <c r="B17" s="6" t="s">
        <v>1853</v>
      </c>
      <c r="C17" s="6" t="n">
        <v>210</v>
      </c>
      <c r="D17" s="6" t="n">
        <v>7</v>
      </c>
      <c r="E17" s="6" t="s">
        <v>2255</v>
      </c>
    </row>
    <row r="18" customFormat="false" ht="15" hidden="false" customHeight="false" outlineLevel="0" collapsed="false">
      <c r="A18" s="6" t="s">
        <v>2139</v>
      </c>
      <c r="B18" s="6" t="s">
        <v>2257</v>
      </c>
      <c r="C18" s="6" t="n">
        <v>140</v>
      </c>
      <c r="D18" s="6" t="n">
        <v>7</v>
      </c>
      <c r="E18" s="6" t="s">
        <v>2258</v>
      </c>
    </row>
    <row r="19" customFormat="false" ht="15" hidden="false" customHeight="false" outlineLevel="0" collapsed="false">
      <c r="A19" s="6" t="s">
        <v>1993</v>
      </c>
      <c r="B19" s="6" t="s">
        <v>198</v>
      </c>
      <c r="C19" s="6" t="n">
        <v>110</v>
      </c>
      <c r="D19" s="6" t="n">
        <v>20</v>
      </c>
      <c r="E19" s="6" t="s">
        <v>2254</v>
      </c>
    </row>
    <row r="20" customFormat="false" ht="15" hidden="false" customHeight="false" outlineLevel="0" collapsed="false">
      <c r="A20" s="6" t="s">
        <v>2155</v>
      </c>
      <c r="B20" s="6" t="s">
        <v>1853</v>
      </c>
      <c r="C20" s="6" t="n">
        <v>100</v>
      </c>
      <c r="D20" s="6" t="n">
        <v>5</v>
      </c>
      <c r="E20" s="6" t="s">
        <v>2255</v>
      </c>
    </row>
    <row r="21" customFormat="false" ht="15" hidden="false" customHeight="false" outlineLevel="0" collapsed="false">
      <c r="A21" s="6" t="s">
        <v>1958</v>
      </c>
      <c r="B21" s="6" t="s">
        <v>198</v>
      </c>
      <c r="C21" s="6" t="n">
        <v>90</v>
      </c>
      <c r="D21" s="6" t="n">
        <v>20</v>
      </c>
      <c r="E21" s="6" t="s">
        <v>2254</v>
      </c>
    </row>
    <row r="22" customFormat="false" ht="15" hidden="false" customHeight="false" outlineLevel="0" collapsed="false">
      <c r="A22" s="6" t="s">
        <v>2214</v>
      </c>
      <c r="B22" s="6" t="s">
        <v>1853</v>
      </c>
      <c r="C22" s="6" t="n">
        <v>40</v>
      </c>
      <c r="D22" s="6" t="n">
        <v>6</v>
      </c>
      <c r="E22" s="6" t="s">
        <v>2255</v>
      </c>
    </row>
    <row r="23" customFormat="false" ht="15" hidden="false" customHeight="false" outlineLevel="0" collapsed="false">
      <c r="A23" s="6" t="s">
        <v>2216</v>
      </c>
      <c r="B23" s="6" t="s">
        <v>1853</v>
      </c>
      <c r="C23" s="6" t="n">
        <v>40</v>
      </c>
      <c r="D23" s="6" t="n">
        <v>10</v>
      </c>
      <c r="E23" s="6" t="s">
        <v>2255</v>
      </c>
    </row>
    <row r="24" customFormat="false" ht="15" hidden="false" customHeight="false" outlineLevel="0" collapsed="false">
      <c r="A24" s="6" t="s">
        <v>2249</v>
      </c>
      <c r="B24" s="6" t="s">
        <v>1853</v>
      </c>
      <c r="C24" s="6" t="n">
        <v>20</v>
      </c>
      <c r="D24" s="6" t="n">
        <v>5</v>
      </c>
      <c r="E24" s="6" t="s">
        <v>2255</v>
      </c>
    </row>
    <row r="25" customFormat="false" ht="15" hidden="false" customHeight="false" outlineLevel="0" collapsed="false">
      <c r="A25" s="6" t="s">
        <v>2251</v>
      </c>
      <c r="B25" s="6" t="s">
        <v>1853</v>
      </c>
      <c r="C25" s="6" t="n">
        <v>20</v>
      </c>
      <c r="D25" s="6" t="n">
        <v>9</v>
      </c>
      <c r="E25" s="6" t="s">
        <v>2255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2026-10-06T13:05:49Z</dcterms:created>
  <dc:creator>openpyxl</dc:creator>
  <dc:description/>
  <dc:language>en-US</dc:language>
  <cp:lastModifiedBy/>
  <dcterms:modified xsi:type="dcterms:W3CDTF">2026-10-06T13:05:50Z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